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acdac5153e40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mber Home" sheetId="1" r:id="R8e3223a6b6ff41b5"/>
    <x:sheet xmlns:r="http://schemas.openxmlformats.org/officeDocument/2006/relationships" name="Memberships" sheetId="2" r:id="Ra2dbe4cd7fba411b"/>
    <x:sheet xmlns:r="http://schemas.openxmlformats.org/officeDocument/2006/relationships" name="What you can do" sheetId="3" r:id="R632edf1a7ab94c27"/>
    <x:sheet xmlns:r="http://schemas.openxmlformats.org/officeDocument/2006/relationships" name="Your lifecycle" sheetId="4" r:id="R994e8a07b0d84c20"/>
    <x:sheet xmlns:r="http://schemas.openxmlformats.org/officeDocument/2006/relationships" name="Value calculator" sheetId="5" r:id="Rd612cbf28e654276"/>
    <x:sheet xmlns:r="http://schemas.openxmlformats.org/officeDocument/2006/relationships" name="Terms" sheetId="6" r:id="R0bdf84ae37c049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;[Red]($#,##0);-"/>
    <x:numFmt numFmtId="201" formatCode="0.00%;[Red](0.00%);-"/>
    <x:numFmt numFmtId="202" formatCode="$#,##0.00;[Red]($#,##0.00);-"/>
    <x:numFmt numFmtId="203" formatCode="#,##0;[Red](#,##0);-"/>
  </x:numFmts>
  <x:fonts count="9">
    <x:font>
      <x:sz val="11"/>
      <x:name val="Carlito"/>
    </x:font>
    <x:font>
      <x:sz val="11"/>
      <x:color rgb="FF17324D"/>
      <x:name val="Carlito"/>
    </x:font>
    <x:font>
      <x:b/>
      <x:sz val="11"/>
      <x:color rgb="FFFFFFFF"/>
      <x:name val="Carlito"/>
    </x:font>
    <x:font>
      <x:i/>
      <x:sz val="11"/>
      <x:color rgb="FF147D73"/>
      <x:name val="Carlito"/>
    </x:font>
    <x:font>
      <x:b/>
      <x:sz val="11"/>
      <x:color rgb="FF17324D"/>
      <x:name val="Carlito"/>
    </x:font>
    <x:font>
      <x:b/>
      <x:sz val="11"/>
      <x:color rgb="FF147D73"/>
      <x:name val="Carlito"/>
    </x:font>
    <x:font>
      <x:b/>
      <x:sz val="11"/>
      <x:color rgb="FF0000FF"/>
      <x:name val="Carlito"/>
    </x:font>
    <x:font>
      <x:sz val="11"/>
      <x:color rgb="FF52697A"/>
      <x:name val="Carlito"/>
    </x:font>
    <x:font>
      <x:sz val="11"/>
      <x:color rgb="FF17324D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47D73"/>
      </x:patternFill>
    </x:fill>
    <x:fill>
      <x:patternFill patternType="solid">
        <x:fgColor rgb="FFEAF5F2"/>
      </x:patternFill>
    </x:fill>
    <x:fill>
      <x:patternFill patternType="solid">
        <x:fgColor rgb="FF17324D"/>
      </x:patternFill>
    </x:fill>
    <x:fill>
      <x:patternFill patternType="solid">
        <x:fgColor rgb="FF0F5F58"/>
      </x:patternFill>
    </x:fill>
    <x:fill>
      <x:patternFill patternType="solid">
        <x:fgColor rgb="FFF3F5F7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8F1DE"/>
      </x:patternFill>
    </x:fill>
    <x:fill>
      <x:patternFill patternType="solid">
        <x:fgColor rgb="FFE8F1FF"/>
      </x:patternFill>
    </x:fill>
    <x:fill>
      <x:patternFill patternType="solid">
        <x:fgColor rgb="FFEAF5F2"/>
      </x:patternFill>
    </x:fill>
    <x:fill>
      <x:patternFill patternType="solid">
        <x:fgColor rgb="FF17324D"/>
      </x:patternFill>
    </x:fill>
    <x:fill>
      <x:patternFill patternType="solid">
        <x:fgColor rgb="FFFFFFFF"/>
      </x:patternFill>
    </x:fill>
  </x:fills>
  <x:borders count="27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5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horizontal="center" vertical="top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horizontal="center" vertical="top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center" wrapText="1"/>
    </x:xf>
    <x:xf numFmtId="200" fontId="1" fillId="2" borderId="2" xfId="0" applyNumberFormat="1" applyFont="1" applyFill="1" applyBorder="1" applyAlignment="1">
      <x:alignment vertical="center" wrapText="1"/>
    </x:xf>
    <x:xf numFmtId="200" fontId="1" fillId="2" borderId="3" xfId="0" applyNumberFormat="1" applyFont="1" applyFill="1" applyBorder="1" applyAlignment="1">
      <x:alignment vertical="center" wrapText="1"/>
    </x:xf>
    <x:xf numFmtId="200" fontId="1" fillId="2" borderId="2" xfId="0" applyNumberFormat="1" applyFont="1" applyFill="1" applyBorder="1" applyAlignment="1">
      <x:alignment horizontal="center" vertical="center" wrapText="1"/>
    </x:xf>
    <x:xf numFmtId="200" fontId="1" fillId="2" borderId="3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2" xfId="0" applyNumberFormat="1" applyFont="1" applyFill="1" applyBorder="1" applyAlignment="1">
      <x:alignment vertical="top" wrapText="1"/>
    </x:xf>
    <x:xf numFmtId="0" fontId="1" fillId="7" borderId="2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top" wrapText="1"/>
    </x:xf>
    <x:xf numFmtId="0" fontId="1" fillId="7" borderId="3" xfId="0" applyNumberFormat="1" applyFont="1" applyFill="1" applyBorder="1" applyAlignment="1">
      <x:alignment vertical="top" wrapText="1"/>
    </x:xf>
    <x:xf numFmtId="0" fontId="1" fillId="7" borderId="3" xfId="0" applyNumberFormat="1" applyFont="1" applyFill="1" applyBorder="1" applyAlignment="1">
      <x:alignment vertical="center" wrapText="1"/>
    </x:xf>
    <x:xf numFmtId="201" fontId="1" fillId="7" borderId="2" xfId="0" applyNumberFormat="1" applyFont="1" applyFill="1" applyBorder="1" applyAlignment="1">
      <x:alignment vertical="center" wrapText="1"/>
    </x:xf>
    <x:xf numFmtId="201" fontId="1" fillId="7" borderId="3" xfId="0" applyNumberFormat="1" applyFont="1" applyFill="1" applyBorder="1" applyAlignment="1">
      <x:alignment vertical="center" wrapText="1"/>
    </x:xf>
    <x:xf numFmtId="201" fontId="1" fillId="7" borderId="2" xfId="0" applyNumberFormat="1" applyFont="1" applyFill="1" applyBorder="1" applyAlignment="1">
      <x:alignment horizontal="center" vertical="center" wrapText="1"/>
    </x:xf>
    <x:xf numFmtId="201" fontId="1" fillId="7" borderId="3" xfId="0" applyNumberFormat="1" applyFont="1" applyFill="1" applyBorder="1" applyAlignment="1">
      <x:alignment horizontal="center" vertical="center" wrapText="1"/>
    </x:xf>
    <x:xf numFmtId="202" fontId="1" fillId="2" borderId="2" xfId="0" applyNumberFormat="1" applyFont="1" applyFill="1" applyBorder="1" applyAlignment="1">
      <x:alignment vertical="center" wrapText="1"/>
    </x:xf>
    <x:xf numFmtId="202" fontId="1" fillId="2" borderId="3" xfId="0" applyNumberFormat="1" applyFont="1" applyFill="1" applyBorder="1" applyAlignment="1">
      <x:alignment vertical="center" wrapText="1"/>
    </x:xf>
    <x:xf numFmtId="202" fontId="1" fillId="2" borderId="2" xfId="0" applyNumberFormat="1" applyFont="1" applyFill="1" applyBorder="1" applyAlignment="1">
      <x:alignment horizontal="center" vertical="center" wrapText="1"/>
    </x:xf>
    <x:xf numFmtId="202" fontId="1" fillId="2" borderId="3" xfId="0" applyNumberFormat="1" applyFont="1" applyFill="1" applyBorder="1" applyAlignment="1">
      <x:alignment horizontal="center" vertical="center" wrapText="1"/>
    </x:xf>
    <x:xf numFmtId="201" fontId="1" fillId="2" borderId="2" xfId="0" applyNumberFormat="1" applyFont="1" applyFill="1" applyBorder="1" applyAlignment="1">
      <x:alignment vertical="center" wrapText="1"/>
    </x:xf>
    <x:xf numFmtId="201" fontId="1" fillId="2" borderId="3" xfId="0" applyNumberFormat="1" applyFont="1" applyFill="1" applyBorder="1" applyAlignment="1">
      <x:alignment vertical="center" wrapText="1"/>
    </x:xf>
    <x:xf numFmtId="201" fontId="1" fillId="2" borderId="2" xfId="0" applyNumberFormat="1" applyFont="1" applyFill="1" applyBorder="1" applyAlignment="1">
      <x:alignment horizontal="center" vertical="center" wrapText="1"/>
    </x:xf>
    <x:xf numFmtId="201" fontId="1" fillId="2" borderId="3" xfId="0" applyNumberFormat="1" applyFont="1" applyFill="1" applyBorder="1" applyAlignment="1">
      <x:alignment horizontal="center" vertical="center" wrapText="1"/>
    </x:xf>
    <x:xf numFmtId="203" fontId="1" fillId="7" borderId="2" xfId="0" applyNumberFormat="1" applyFont="1" applyFill="1" applyBorder="1" applyAlignment="1">
      <x:alignment vertical="center" wrapText="1"/>
    </x:xf>
    <x:xf numFmtId="203" fontId="1" fillId="7" borderId="3" xfId="0" applyNumberFormat="1" applyFont="1" applyFill="1" applyBorder="1" applyAlignment="1">
      <x:alignment vertical="center" wrapText="1"/>
    </x:xf>
    <x:xf numFmtId="203" fontId="1" fillId="7" borderId="2" xfId="0" applyNumberFormat="1" applyFont="1" applyFill="1" applyBorder="1" applyAlignment="1">
      <x:alignment horizontal="center" vertical="center" wrapText="1"/>
    </x:xf>
    <x:xf numFmtId="203" fontId="1" fillId="7" borderId="3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top" wrapText="1"/>
    </x:xf>
    <x:xf numFmtId="0" fontId="1" fillId="9" borderId="1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top" wrapText="1"/>
    </x:xf>
    <x:xf numFmtId="0" fontId="1" fillId="4" borderId="6" xfId="0" applyNumberFormat="1" applyFont="1" applyFill="1" applyBorder="1" applyAlignment="1">
      <x:alignment vertical="top" wrapText="1"/>
    </x:xf>
    <x:xf numFmtId="0" fontId="1" fillId="4" borderId="4" xfId="0" applyNumberFormat="1" applyFont="1" applyFill="1" applyBorder="1" applyAlignment="1">
      <x:alignment horizontal="center" vertical="top" wrapText="1"/>
    </x:xf>
    <x:xf numFmtId="0" fontId="1" fillId="4" borderId="5" xfId="0" applyNumberFormat="1" applyFont="1" applyFill="1" applyBorder="1" applyAlignment="1">
      <x:alignment horizontal="center" vertical="top" wrapText="1"/>
    </x:xf>
    <x:xf numFmtId="0" fontId="1" fillId="4" borderId="6" xfId="0" applyNumberFormat="1" applyFont="1" applyFill="1" applyBorder="1" applyAlignment="1">
      <x:alignment horizontal="center" vertical="top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1" fillId="4" borderId="6" xfId="0" applyNumberFormat="1" applyFont="1" applyFill="1" applyBorder="1" applyAlignment="1">
      <x:alignment horizontal="center" vertical="center" wrapText="1"/>
    </x:xf>
    <x:xf numFmtId="0" fontId="1" fillId="4" borderId="7" xfId="0" applyNumberFormat="1" applyFont="1" applyFill="1" applyBorder="1" applyAlignment="1">
      <x:alignment vertical="top" wrapText="1"/>
    </x:xf>
    <x:xf numFmtId="0" fontId="1" fillId="4" borderId="8" xfId="0" applyNumberFormat="1" applyFont="1" applyFill="1" applyBorder="1" applyAlignment="1">
      <x:alignment vertical="top" wrapText="1"/>
    </x:xf>
    <x:xf numFmtId="0" fontId="1" fillId="4" borderId="9" xfId="0" applyNumberFormat="1" applyFont="1" applyFill="1" applyBorder="1" applyAlignment="1">
      <x:alignment vertical="top" wrapText="1"/>
    </x:xf>
    <x:xf numFmtId="0" fontId="1" fillId="4" borderId="7" xfId="0" applyNumberFormat="1" applyFont="1" applyFill="1" applyBorder="1" applyAlignment="1">
      <x:alignment horizontal="center" vertical="top" wrapText="1"/>
    </x:xf>
    <x:xf numFmtId="0" fontId="1" fillId="4" borderId="8" xfId="0" applyNumberFormat="1" applyFont="1" applyFill="1" applyBorder="1" applyAlignment="1">
      <x:alignment horizontal="center" vertical="top" wrapText="1"/>
    </x:xf>
    <x:xf numFmtId="0" fontId="1" fillId="4" borderId="9" xfId="0" applyNumberFormat="1" applyFont="1" applyFill="1" applyBorder="1" applyAlignment="1">
      <x:alignment horizontal="center" vertical="top" wrapText="1"/>
    </x:xf>
    <x:xf numFmtId="0" fontId="1" fillId="4" borderId="7" xfId="0" applyNumberFormat="1" applyFont="1" applyFill="1" applyBorder="1" applyAlignment="1">
      <x:alignment horizontal="center" vertical="center" wrapText="1"/>
    </x:xf>
    <x:xf numFmtId="0" fontId="1" fillId="4" borderId="8" xfId="0" applyNumberFormat="1" applyFont="1" applyFill="1" applyBorder="1" applyAlignment="1">
      <x:alignment horizontal="center" vertical="center" wrapText="1"/>
    </x:xf>
    <x:xf numFmtId="0" fontId="1" fillId="4" borderId="9" xfId="0" applyNumberFormat="1" applyFont="1" applyFill="1" applyBorder="1" applyAlignment="1">
      <x:alignment horizontal="center" vertic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2" fillId="5" borderId="4" xfId="0" applyNumberFormat="1" applyFont="1" applyFill="1" applyBorder="1" applyAlignment="1">
      <x:alignment horizontal="center" vertical="center" wrapText="1"/>
    </x:xf>
    <x:xf numFmtId="0" fontId="2" fillId="5" borderId="5" xfId="0" applyNumberFormat="1" applyFont="1" applyFill="1" applyBorder="1" applyAlignment="1">
      <x:alignment horizontal="center" vertical="center" wrapText="1"/>
    </x:xf>
    <x:xf numFmtId="0" fontId="1" fillId="5" borderId="7" xfId="0" applyNumberFormat="1" applyFont="1" applyFill="1" applyBorder="1" applyAlignment="1">
      <x:alignment horizontal="center" vertical="center" wrapText="1"/>
    </x:xf>
    <x:xf numFmtId="0" fontId="1" fillId="5" borderId="8" xfId="0" applyNumberFormat="1" applyFont="1" applyFill="1" applyBorder="1" applyAlignment="1">
      <x:alignment horizontal="center" vertical="center" wrapText="1"/>
    </x:xf>
    <x:xf numFmtId="0" fontId="2" fillId="5" borderId="7" xfId="0" applyNumberFormat="1" applyFont="1" applyFill="1" applyBorder="1" applyAlignment="1">
      <x:alignment horizontal="center" vertical="center" wrapText="1"/>
    </x:xf>
    <x:xf numFmtId="0" fontId="2" fillId="5" borderId="8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1" fillId="2" borderId="6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1" fillId="2" borderId="5" xfId="0" applyNumberFormat="1" applyFont="1" applyFill="1" applyBorder="1" applyAlignment="1">
      <x:alignment horizontal="center" vertical="top" wrapText="1"/>
    </x:xf>
    <x:xf numFmtId="0" fontId="1" fillId="2" borderId="6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vertical="top" wrapText="1"/>
    </x:xf>
    <x:xf numFmtId="0" fontId="1" fillId="2" borderId="9" xfId="0" applyNumberFormat="1" applyFont="1" applyFill="1" applyBorder="1" applyAlignment="1">
      <x:alignment vertical="top" wrapText="1"/>
    </x:xf>
    <x:xf numFmtId="0" fontId="1" fillId="2" borderId="7" xfId="0" applyNumberFormat="1" applyFont="1" applyFill="1" applyBorder="1" applyAlignment="1">
      <x:alignment horizontal="center" vertical="top" wrapText="1"/>
    </x:xf>
    <x:xf numFmtId="0" fontId="1" fillId="2" borderId="8" xfId="0" applyNumberFormat="1" applyFont="1" applyFill="1" applyBorder="1" applyAlignment="1">
      <x:alignment horizontal="center" vertical="top" wrapText="1"/>
    </x:xf>
    <x:xf numFmtId="0" fontId="1" fillId="2" borderId="9" xfId="0" applyNumberFormat="1" applyFont="1" applyFill="1" applyBorder="1" applyAlignment="1">
      <x:alignment horizontal="center" vertical="top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vertical="top" wrapText="1"/>
    </x:xf>
    <x:xf numFmtId="0" fontId="1" fillId="10" borderId="10" xfId="0" applyNumberFormat="1" applyFont="1" applyFill="1" applyBorder="1" applyAlignment="1">
      <x:alignment vertical="top" wrapText="1"/>
    </x:xf>
    <x:xf numFmtId="0" fontId="1" fillId="10" borderId="11" xfId="0" applyNumberFormat="1" applyFont="1" applyFill="1" applyBorder="1" applyAlignment="1">
      <x:alignment vertical="top" wrapText="1"/>
    </x:xf>
    <x:xf numFmtId="0" fontId="1" fillId="10" borderId="12" xfId="0" applyNumberFormat="1" applyFont="1" applyFill="1" applyBorder="1" applyAlignment="1">
      <x:alignment vertical="top" wrapText="1"/>
    </x:xf>
    <x:xf numFmtId="0" fontId="1" fillId="10" borderId="13" xfId="0" applyNumberFormat="1" applyFont="1" applyFill="1" applyBorder="1" applyAlignment="1">
      <x:alignment vertical="top" wrapText="1"/>
    </x:xf>
    <x:xf numFmtId="0" fontId="1" fillId="10" borderId="14" xfId="0" applyNumberFormat="1" applyFont="1" applyFill="1" applyBorder="1" applyAlignment="1">
      <x:alignment vertical="top" wrapText="1"/>
    </x:xf>
    <x:xf numFmtId="0" fontId="1" fillId="10" borderId="15" xfId="0" applyNumberFormat="1" applyFont="1" applyFill="1" applyBorder="1" applyAlignment="1">
      <x:alignment vertical="top" wrapText="1"/>
    </x:xf>
    <x:xf numFmtId="0" fontId="1" fillId="10" borderId="10" xfId="0" applyNumberFormat="1" applyFont="1" applyFill="1" applyBorder="1" applyAlignment="1">
      <x:alignment horizontal="center" vertical="top" wrapText="1"/>
    </x:xf>
    <x:xf numFmtId="0" fontId="1" fillId="10" borderId="11" xfId="0" applyNumberFormat="1" applyFont="1" applyFill="1" applyBorder="1" applyAlignment="1">
      <x:alignment horizontal="center" vertical="top" wrapText="1"/>
    </x:xf>
    <x:xf numFmtId="0" fontId="1" fillId="10" borderId="12" xfId="0" applyNumberFormat="1" applyFont="1" applyFill="1" applyBorder="1" applyAlignment="1">
      <x:alignment horizontal="center" vertical="top" wrapText="1"/>
    </x:xf>
    <x:xf numFmtId="0" fontId="1" fillId="10" borderId="13" xfId="0" applyNumberFormat="1" applyFont="1" applyFill="1" applyBorder="1" applyAlignment="1">
      <x:alignment horizontal="center" vertical="top" wrapText="1"/>
    </x:xf>
    <x:xf numFmtId="0" fontId="1" fillId="10" borderId="14" xfId="0" applyNumberFormat="1" applyFont="1" applyFill="1" applyBorder="1" applyAlignment="1">
      <x:alignment horizontal="center" vertical="top" wrapText="1"/>
    </x:xf>
    <x:xf numFmtId="0" fontId="1" fillId="10" borderId="15" xfId="0" applyNumberFormat="1" applyFont="1" applyFill="1" applyBorder="1" applyAlignment="1">
      <x:alignment horizontal="center" vertical="top" wrapText="1"/>
    </x:xf>
    <x:xf numFmtId="0" fontId="1" fillId="10" borderId="10" xfId="0" applyNumberFormat="1" applyFont="1" applyFill="1" applyBorder="1" applyAlignment="1">
      <x:alignment horizontal="center" vertical="center" wrapText="1"/>
    </x:xf>
    <x:xf numFmtId="0" fontId="1" fillId="10" borderId="11" xfId="0" applyNumberFormat="1" applyFont="1" applyFill="1" applyBorder="1" applyAlignment="1">
      <x:alignment horizontal="center" vertical="center" wrapText="1"/>
    </x:xf>
    <x:xf numFmtId="0" fontId="1" fillId="10" borderId="12" xfId="0" applyNumberFormat="1" applyFont="1" applyFill="1" applyBorder="1" applyAlignment="1">
      <x:alignment horizontal="center" vertical="center" wrapText="1"/>
    </x:xf>
    <x:xf numFmtId="0" fontId="1" fillId="10" borderId="13" xfId="0" applyNumberFormat="1" applyFont="1" applyFill="1" applyBorder="1" applyAlignment="1">
      <x:alignment horizontal="center" vertical="center" wrapText="1"/>
    </x:xf>
    <x:xf numFmtId="0" fontId="1" fillId="10" borderId="14" xfId="0" applyNumberFormat="1" applyFont="1" applyFill="1" applyBorder="1" applyAlignment="1">
      <x:alignment horizontal="center" vertical="center" wrapText="1"/>
    </x:xf>
    <x:xf numFmtId="0" fontId="1" fillId="10" borderId="15" xfId="0" applyNumberFormat="1" applyFont="1" applyFill="1" applyBorder="1" applyAlignment="1">
      <x:alignment horizontal="center" vertical="center" wrapText="1"/>
    </x:xf>
    <x:xf numFmtId="0" fontId="1" fillId="10" borderId="1" xfId="0" applyNumberFormat="1" applyFont="1" applyFill="1" applyBorder="1" applyAlignment="1">
      <x:alignment vertical="top" wrapText="1"/>
    </x:xf>
    <x:xf numFmtId="0" fontId="1" fillId="10" borderId="16" xfId="0" applyNumberFormat="1" applyFont="1" applyFill="1" applyBorder="1" applyAlignment="1">
      <x:alignment vertical="top" wrapText="1"/>
    </x:xf>
    <x:xf numFmtId="0" fontId="1" fillId="10" borderId="17" xfId="0" applyNumberFormat="1" applyFont="1" applyFill="1" applyBorder="1" applyAlignment="1">
      <x:alignment vertical="top" wrapText="1"/>
    </x:xf>
    <x:xf numFmtId="0" fontId="1" fillId="10" borderId="18" xfId="0" applyNumberFormat="1" applyFont="1" applyFill="1" applyBorder="1" applyAlignment="1">
      <x:alignment vertical="top" wrapText="1"/>
    </x:xf>
    <x:xf numFmtId="0" fontId="1" fillId="10" borderId="19" xfId="0" applyNumberFormat="1" applyFont="1" applyFill="1" applyBorder="1" applyAlignment="1">
      <x:alignment vertical="top" wrapText="1"/>
    </x:xf>
    <x:xf numFmtId="0" fontId="1" fillId="10" borderId="20" xfId="0" applyNumberFormat="1" applyFont="1" applyFill="1" applyBorder="1" applyAlignment="1">
      <x:alignment vertical="top" wrapText="1"/>
    </x:xf>
    <x:xf numFmtId="0" fontId="1" fillId="10" borderId="21" xfId="0" applyNumberFormat="1" applyFont="1" applyFill="1" applyBorder="1" applyAlignment="1">
      <x:alignment vertical="top" wrapText="1"/>
    </x:xf>
    <x:xf numFmtId="0" fontId="1" fillId="10" borderId="16" xfId="0" applyNumberFormat="1" applyFont="1" applyFill="1" applyBorder="1" applyAlignment="1">
      <x:alignment horizontal="center" vertical="top" wrapText="1"/>
    </x:xf>
    <x:xf numFmtId="0" fontId="1" fillId="10" borderId="17" xfId="0" applyNumberFormat="1" applyFont="1" applyFill="1" applyBorder="1" applyAlignment="1">
      <x:alignment horizontal="center" vertical="top" wrapText="1"/>
    </x:xf>
    <x:xf numFmtId="0" fontId="1" fillId="10" borderId="18" xfId="0" applyNumberFormat="1" applyFont="1" applyFill="1" applyBorder="1" applyAlignment="1">
      <x:alignment horizontal="center" vertical="top" wrapText="1"/>
    </x:xf>
    <x:xf numFmtId="0" fontId="1" fillId="10" borderId="19" xfId="0" applyNumberFormat="1" applyFont="1" applyFill="1" applyBorder="1" applyAlignment="1">
      <x:alignment horizontal="center" vertical="top" wrapText="1"/>
    </x:xf>
    <x:xf numFmtId="0" fontId="1" fillId="10" borderId="20" xfId="0" applyNumberFormat="1" applyFont="1" applyFill="1" applyBorder="1" applyAlignment="1">
      <x:alignment horizontal="center" vertical="top" wrapText="1"/>
    </x:xf>
    <x:xf numFmtId="0" fontId="1" fillId="10" borderId="21" xfId="0" applyNumberFormat="1" applyFont="1" applyFill="1" applyBorder="1" applyAlignment="1">
      <x:alignment horizontal="center" vertical="top" wrapText="1"/>
    </x:xf>
    <x:xf numFmtId="0" fontId="1" fillId="10" borderId="16" xfId="0" applyNumberFormat="1" applyFont="1" applyFill="1" applyBorder="1" applyAlignment="1">
      <x:alignment horizontal="center" vertical="center" wrapText="1"/>
    </x:xf>
    <x:xf numFmtId="0" fontId="1" fillId="10" borderId="17" xfId="0" applyNumberFormat="1" applyFont="1" applyFill="1" applyBorder="1" applyAlignment="1">
      <x:alignment horizontal="center" vertical="center" wrapText="1"/>
    </x:xf>
    <x:xf numFmtId="0" fontId="1" fillId="10" borderId="18" xfId="0" applyNumberFormat="1" applyFont="1" applyFill="1" applyBorder="1" applyAlignment="1">
      <x:alignment horizontal="center" vertical="center" wrapText="1"/>
    </x:xf>
    <x:xf numFmtId="0" fontId="1" fillId="10" borderId="19" xfId="0" applyNumberFormat="1" applyFont="1" applyFill="1" applyBorder="1" applyAlignment="1">
      <x:alignment horizontal="center" vertical="center" wrapText="1"/>
    </x:xf>
    <x:xf numFmtId="0" fontId="1" fillId="10" borderId="20" xfId="0" applyNumberFormat="1" applyFont="1" applyFill="1" applyBorder="1" applyAlignment="1">
      <x:alignment horizontal="center" vertical="center" wrapText="1"/>
    </x:xf>
    <x:xf numFmtId="0" fontId="1" fillId="10" borderId="21" xfId="0" applyNumberFormat="1" applyFont="1" applyFill="1" applyBorder="1" applyAlignment="1">
      <x:alignment horizontal="center" vertical="center" wrapText="1"/>
    </x:xf>
    <x:xf numFmtId="0" fontId="1" fillId="8" borderId="10" xfId="0" applyNumberFormat="1" applyFont="1" applyFill="1" applyBorder="1" applyAlignment="1">
      <x:alignment vertical="top" wrapText="1"/>
    </x:xf>
    <x:xf numFmtId="0" fontId="1" fillId="8" borderId="11" xfId="0" applyNumberFormat="1" applyFont="1" applyFill="1" applyBorder="1" applyAlignment="1">
      <x:alignment vertical="top" wrapText="1"/>
    </x:xf>
    <x:xf numFmtId="0" fontId="1" fillId="8" borderId="12" xfId="0" applyNumberFormat="1" applyFont="1" applyFill="1" applyBorder="1" applyAlignment="1">
      <x:alignment vertical="top" wrapText="1"/>
    </x:xf>
    <x:xf numFmtId="0" fontId="1" fillId="8" borderId="13" xfId="0" applyNumberFormat="1" applyFont="1" applyFill="1" applyBorder="1" applyAlignment="1">
      <x:alignment vertical="top" wrapText="1"/>
    </x:xf>
    <x:xf numFmtId="0" fontId="1" fillId="8" borderId="14" xfId="0" applyNumberFormat="1" applyFont="1" applyFill="1" applyBorder="1" applyAlignment="1">
      <x:alignment vertical="top" wrapText="1"/>
    </x:xf>
    <x:xf numFmtId="0" fontId="1" fillId="8" borderId="15" xfId="0" applyNumberFormat="1" applyFont="1" applyFill="1" applyBorder="1" applyAlignment="1">
      <x:alignment vertical="top" wrapText="1"/>
    </x:xf>
    <x:xf numFmtId="0" fontId="1" fillId="8" borderId="10" xfId="0" applyNumberFormat="1" applyFont="1" applyFill="1" applyBorder="1" applyAlignment="1">
      <x:alignment horizontal="center" vertical="top" wrapText="1"/>
    </x:xf>
    <x:xf numFmtId="0" fontId="1" fillId="8" borderId="11" xfId="0" applyNumberFormat="1" applyFont="1" applyFill="1" applyBorder="1" applyAlignment="1">
      <x:alignment horizontal="center" vertical="top" wrapText="1"/>
    </x:xf>
    <x:xf numFmtId="0" fontId="1" fillId="8" borderId="12" xfId="0" applyNumberFormat="1" applyFont="1" applyFill="1" applyBorder="1" applyAlignment="1">
      <x:alignment horizontal="center" vertical="top" wrapText="1"/>
    </x:xf>
    <x:xf numFmtId="0" fontId="1" fillId="8" borderId="13" xfId="0" applyNumberFormat="1" applyFont="1" applyFill="1" applyBorder="1" applyAlignment="1">
      <x:alignment horizontal="center" vertical="top" wrapText="1"/>
    </x:xf>
    <x:xf numFmtId="0" fontId="1" fillId="8" borderId="14" xfId="0" applyNumberFormat="1" applyFont="1" applyFill="1" applyBorder="1" applyAlignment="1">
      <x:alignment horizontal="center" vertical="top" wrapText="1"/>
    </x:xf>
    <x:xf numFmtId="0" fontId="1" fillId="8" borderId="15" xfId="0" applyNumberFormat="1" applyFont="1" applyFill="1" applyBorder="1" applyAlignment="1">
      <x:alignment horizontal="center" vertical="top" wrapText="1"/>
    </x:xf>
    <x:xf numFmtId="0" fontId="1" fillId="8" borderId="10" xfId="0" applyNumberFormat="1" applyFont="1" applyFill="1" applyBorder="1" applyAlignment="1">
      <x:alignment horizontal="center" vertical="center" wrapText="1"/>
    </x:xf>
    <x:xf numFmtId="0" fontId="1" fillId="8" borderId="11" xfId="0" applyNumberFormat="1" applyFont="1" applyFill="1" applyBorder="1" applyAlignment="1">
      <x:alignment horizontal="center" vertical="center" wrapText="1"/>
    </x:xf>
    <x:xf numFmtId="0" fontId="1" fillId="8" borderId="12" xfId="0" applyNumberFormat="1" applyFont="1" applyFill="1" applyBorder="1" applyAlignment="1">
      <x:alignment horizontal="center" vertical="center" wrapText="1"/>
    </x:xf>
    <x:xf numFmtId="0" fontId="1" fillId="8" borderId="13" xfId="0" applyNumberFormat="1" applyFont="1" applyFill="1" applyBorder="1" applyAlignment="1">
      <x:alignment horizontal="center" vertical="center" wrapText="1"/>
    </x:xf>
    <x:xf numFmtId="0" fontId="1" fillId="8" borderId="14" xfId="0" applyNumberFormat="1" applyFont="1" applyFill="1" applyBorder="1" applyAlignment="1">
      <x:alignment horizontal="center" vertical="center" wrapText="1"/>
    </x:xf>
    <x:xf numFmtId="0" fontId="1" fillId="8" borderId="15" xfId="0" applyNumberFormat="1" applyFont="1" applyFill="1" applyBorder="1" applyAlignment="1">
      <x:alignment horizontal="center" vertical="center" wrapText="1"/>
    </x:xf>
    <x:xf numFmtId="0" fontId="1" fillId="8" borderId="16" xfId="0" applyNumberFormat="1" applyFont="1" applyFill="1" applyBorder="1" applyAlignment="1">
      <x:alignment vertical="top" wrapText="1"/>
    </x:xf>
    <x:xf numFmtId="0" fontId="1" fillId="8" borderId="17" xfId="0" applyNumberFormat="1" applyFont="1" applyFill="1" applyBorder="1" applyAlignment="1">
      <x:alignment vertical="top" wrapText="1"/>
    </x:xf>
    <x:xf numFmtId="0" fontId="1" fillId="8" borderId="18" xfId="0" applyNumberFormat="1" applyFont="1" applyFill="1" applyBorder="1" applyAlignment="1">
      <x:alignment vertical="top" wrapText="1"/>
    </x:xf>
    <x:xf numFmtId="0" fontId="1" fillId="8" borderId="19" xfId="0" applyNumberFormat="1" applyFont="1" applyFill="1" applyBorder="1" applyAlignment="1">
      <x:alignment vertical="top" wrapText="1"/>
    </x:xf>
    <x:xf numFmtId="0" fontId="1" fillId="8" borderId="20" xfId="0" applyNumberFormat="1" applyFont="1" applyFill="1" applyBorder="1" applyAlignment="1">
      <x:alignment vertical="top" wrapText="1"/>
    </x:xf>
    <x:xf numFmtId="0" fontId="1" fillId="8" borderId="21" xfId="0" applyNumberFormat="1" applyFont="1" applyFill="1" applyBorder="1" applyAlignment="1">
      <x:alignment vertical="top" wrapText="1"/>
    </x:xf>
    <x:xf numFmtId="0" fontId="1" fillId="8" borderId="16" xfId="0" applyNumberFormat="1" applyFont="1" applyFill="1" applyBorder="1" applyAlignment="1">
      <x:alignment horizontal="center" vertical="top" wrapText="1"/>
    </x:xf>
    <x:xf numFmtId="0" fontId="1" fillId="8" borderId="17" xfId="0" applyNumberFormat="1" applyFont="1" applyFill="1" applyBorder="1" applyAlignment="1">
      <x:alignment horizontal="center" vertical="top" wrapText="1"/>
    </x:xf>
    <x:xf numFmtId="0" fontId="1" fillId="8" borderId="18" xfId="0" applyNumberFormat="1" applyFont="1" applyFill="1" applyBorder="1" applyAlignment="1">
      <x:alignment horizontal="center" vertical="top" wrapText="1"/>
    </x:xf>
    <x:xf numFmtId="0" fontId="1" fillId="8" borderId="19" xfId="0" applyNumberFormat="1" applyFont="1" applyFill="1" applyBorder="1" applyAlignment="1">
      <x:alignment horizontal="center" vertical="top" wrapText="1"/>
    </x:xf>
    <x:xf numFmtId="0" fontId="1" fillId="8" borderId="20" xfId="0" applyNumberFormat="1" applyFont="1" applyFill="1" applyBorder="1" applyAlignment="1">
      <x:alignment horizontal="center" vertical="top" wrapText="1"/>
    </x:xf>
    <x:xf numFmtId="0" fontId="1" fillId="8" borderId="21" xfId="0" applyNumberFormat="1" applyFont="1" applyFill="1" applyBorder="1" applyAlignment="1">
      <x:alignment horizontal="center" vertical="top" wrapText="1"/>
    </x:xf>
    <x:xf numFmtId="0" fontId="1" fillId="8" borderId="16" xfId="0" applyNumberFormat="1" applyFont="1" applyFill="1" applyBorder="1" applyAlignment="1">
      <x:alignment horizontal="center" vertical="center" wrapText="1"/>
    </x:xf>
    <x:xf numFmtId="0" fontId="1" fillId="8" borderId="17" xfId="0" applyNumberFormat="1" applyFont="1" applyFill="1" applyBorder="1" applyAlignment="1">
      <x:alignment horizontal="center" vertical="center" wrapText="1"/>
    </x:xf>
    <x:xf numFmtId="0" fontId="1" fillId="8" borderId="18" xfId="0" applyNumberFormat="1" applyFont="1" applyFill="1" applyBorder="1" applyAlignment="1">
      <x:alignment horizontal="center" vertical="center" wrapText="1"/>
    </x:xf>
    <x:xf numFmtId="0" fontId="1" fillId="8" borderId="19" xfId="0" applyNumberFormat="1" applyFont="1" applyFill="1" applyBorder="1" applyAlignment="1">
      <x:alignment horizontal="center" vertical="center" wrapText="1"/>
    </x:xf>
    <x:xf numFmtId="0" fontId="1" fillId="8" borderId="20" xfId="0" applyNumberFormat="1" applyFont="1" applyFill="1" applyBorder="1" applyAlignment="1">
      <x:alignment horizontal="center" vertical="center" wrapText="1"/>
    </x:xf>
    <x:xf numFmtId="0" fontId="1" fillId="8" borderId="21" xfId="0" applyNumberFormat="1" applyFont="1" applyFill="1" applyBorder="1" applyAlignment="1">
      <x:alignment horizontal="center" vertical="center" wrapText="1"/>
    </x:xf>
    <x:xf numFmtId="0" fontId="1" fillId="4" borderId="10" xfId="0" applyNumberFormat="1" applyFont="1" applyFill="1" applyBorder="1" applyAlignment="1">
      <x:alignment vertical="top" wrapText="1"/>
    </x:xf>
    <x:xf numFmtId="0" fontId="1" fillId="4" borderId="22" xfId="0" applyNumberFormat="1" applyFont="1" applyFill="1" applyBorder="1" applyAlignment="1">
      <x:alignment vertical="top" wrapText="1"/>
    </x:xf>
    <x:xf numFmtId="0" fontId="1" fillId="4" borderId="11" xfId="0" applyNumberFormat="1" applyFont="1" applyFill="1" applyBorder="1" applyAlignment="1">
      <x:alignment vertical="top" wrapText="1"/>
    </x:xf>
    <x:xf numFmtId="0" fontId="1" fillId="4" borderId="12" xfId="0" applyNumberFormat="1" applyFont="1" applyFill="1" applyBorder="1" applyAlignment="1">
      <x:alignment vertical="top" wrapText="1"/>
    </x:xf>
    <x:xf numFmtId="0" fontId="1" fillId="4" borderId="13" xfId="0" applyNumberFormat="1" applyFont="1" applyFill="1" applyBorder="1" applyAlignment="1">
      <x:alignment vertical="top" wrapText="1"/>
    </x:xf>
    <x:xf numFmtId="0" fontId="1" fillId="4" borderId="14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15" xfId="0" applyNumberFormat="1" applyFont="1" applyFill="1" applyBorder="1" applyAlignment="1">
      <x:alignment vertical="top" wrapText="1"/>
    </x:xf>
    <x:xf numFmtId="0" fontId="1" fillId="4" borderId="10" xfId="0" applyNumberFormat="1" applyFont="1" applyFill="1" applyBorder="1" applyAlignment="1">
      <x:alignment horizontal="center" vertical="top" wrapText="1"/>
    </x:xf>
    <x:xf numFmtId="0" fontId="1" fillId="4" borderId="22" xfId="0" applyNumberFormat="1" applyFont="1" applyFill="1" applyBorder="1" applyAlignment="1">
      <x:alignment horizontal="center" vertical="top" wrapText="1"/>
    </x:xf>
    <x:xf numFmtId="0" fontId="1" fillId="4" borderId="11" xfId="0" applyNumberFormat="1" applyFont="1" applyFill="1" applyBorder="1" applyAlignment="1">
      <x:alignment horizontal="center" vertical="top" wrapText="1"/>
    </x:xf>
    <x:xf numFmtId="0" fontId="1" fillId="4" borderId="12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1" fillId="4" borderId="13" xfId="0" applyNumberFormat="1" applyFont="1" applyFill="1" applyBorder="1" applyAlignment="1">
      <x:alignment horizontal="center" vertical="top" wrapText="1"/>
    </x:xf>
    <x:xf numFmtId="0" fontId="1" fillId="4" borderId="14" xfId="0" applyNumberFormat="1" applyFont="1" applyFill="1" applyBorder="1" applyAlignment="1">
      <x:alignment horizontal="center" vertical="top" wrapText="1"/>
    </x:xf>
    <x:xf numFmtId="0" fontId="1" fillId="4" borderId="2" xfId="0" applyNumberFormat="1" applyFont="1" applyFill="1" applyBorder="1" applyAlignment="1">
      <x:alignment horizontal="center" vertical="top" wrapText="1"/>
    </x:xf>
    <x:xf numFmtId="0" fontId="1" fillId="4" borderId="15" xfId="0" applyNumberFormat="1" applyFont="1" applyFill="1" applyBorder="1" applyAlignment="1">
      <x:alignment horizontal="center" vertical="top" wrapText="1"/>
    </x:xf>
    <x:xf numFmtId="0" fontId="1" fillId="4" borderId="10" xfId="0" applyNumberFormat="1" applyFont="1" applyFill="1" applyBorder="1" applyAlignment="1">
      <x:alignment horizontal="center" vertical="center" wrapText="1"/>
    </x:xf>
    <x:xf numFmtId="0" fontId="1" fillId="4" borderId="22" xfId="0" applyNumberFormat="1" applyFont="1" applyFill="1" applyBorder="1" applyAlignment="1">
      <x:alignment horizontal="center" vertical="center" wrapText="1"/>
    </x:xf>
    <x:xf numFmtId="0" fontId="1" fillId="4" borderId="11" xfId="0" applyNumberFormat="1" applyFont="1" applyFill="1" applyBorder="1" applyAlignment="1">
      <x:alignment horizontal="center" vertical="center" wrapText="1"/>
    </x:xf>
    <x:xf numFmtId="0" fontId="1" fillId="4" borderId="12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3" xfId="0" applyNumberFormat="1" applyFont="1" applyFill="1" applyBorder="1" applyAlignment="1">
      <x:alignment horizontal="center" vertical="center" wrapText="1"/>
    </x:xf>
    <x:xf numFmtId="0" fontId="1" fillId="4" borderId="14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15" xfId="0" applyNumberFormat="1" applyFont="1" applyFill="1" applyBorder="1" applyAlignment="1">
      <x:alignment horizontal="center" vertical="center" wrapText="1"/>
    </x:xf>
    <x:xf numFmtId="0" fontId="1" fillId="4" borderId="16" xfId="0" applyNumberFormat="1" applyFont="1" applyFill="1" applyBorder="1" applyAlignment="1">
      <x:alignment vertical="top" wrapText="1"/>
    </x:xf>
    <x:xf numFmtId="0" fontId="1" fillId="4" borderId="23" xfId="0" applyNumberFormat="1" applyFont="1" applyFill="1" applyBorder="1" applyAlignment="1">
      <x:alignment vertical="top" wrapText="1"/>
    </x:xf>
    <x:xf numFmtId="0" fontId="1" fillId="4" borderId="17" xfId="0" applyNumberFormat="1" applyFont="1" applyFill="1" applyBorder="1" applyAlignment="1">
      <x:alignment vertical="top" wrapText="1"/>
    </x:xf>
    <x:xf numFmtId="0" fontId="1" fillId="4" borderId="18" xfId="0" applyNumberFormat="1" applyFont="1" applyFill="1" applyBorder="1" applyAlignment="1">
      <x:alignment vertical="top" wrapText="1"/>
    </x:xf>
    <x:xf numFmtId="0" fontId="1" fillId="4" borderId="19" xfId="0" applyNumberFormat="1" applyFont="1" applyFill="1" applyBorder="1" applyAlignment="1">
      <x:alignment vertical="top" wrapText="1"/>
    </x:xf>
    <x:xf numFmtId="0" fontId="1" fillId="4" borderId="20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vertical="top" wrapText="1"/>
    </x:xf>
    <x:xf numFmtId="0" fontId="1" fillId="4" borderId="21" xfId="0" applyNumberFormat="1" applyFont="1" applyFill="1" applyBorder="1" applyAlignment="1">
      <x:alignment vertical="top" wrapText="1"/>
    </x:xf>
    <x:xf numFmtId="0" fontId="1" fillId="4" borderId="16" xfId="0" applyNumberFormat="1" applyFont="1" applyFill="1" applyBorder="1" applyAlignment="1">
      <x:alignment horizontal="center" vertical="top" wrapText="1"/>
    </x:xf>
    <x:xf numFmtId="0" fontId="1" fillId="4" borderId="23" xfId="0" applyNumberFormat="1" applyFont="1" applyFill="1" applyBorder="1" applyAlignment="1">
      <x:alignment horizontal="center" vertical="top" wrapText="1"/>
    </x:xf>
    <x:xf numFmtId="0" fontId="1" fillId="4" borderId="17" xfId="0" applyNumberFormat="1" applyFont="1" applyFill="1" applyBorder="1" applyAlignment="1">
      <x:alignment horizontal="center" vertical="top" wrapText="1"/>
    </x:xf>
    <x:xf numFmtId="0" fontId="1" fillId="4" borderId="18" xfId="0" applyNumberFormat="1" applyFont="1" applyFill="1" applyBorder="1" applyAlignment="1">
      <x:alignment horizontal="center" vertical="top" wrapText="1"/>
    </x:xf>
    <x:xf numFmtId="0" fontId="1" fillId="4" borderId="1" xfId="0" applyNumberFormat="1" applyFont="1" applyFill="1" applyBorder="1" applyAlignment="1">
      <x:alignment horizontal="center" vertical="top" wrapText="1"/>
    </x:xf>
    <x:xf numFmtId="0" fontId="1" fillId="4" borderId="19" xfId="0" applyNumberFormat="1" applyFont="1" applyFill="1" applyBorder="1" applyAlignment="1">
      <x:alignment horizontal="center" vertical="top" wrapText="1"/>
    </x:xf>
    <x:xf numFmtId="0" fontId="1" fillId="4" borderId="20" xfId="0" applyNumberFormat="1" applyFont="1" applyFill="1" applyBorder="1" applyAlignment="1">
      <x:alignment horizontal="center" vertical="top" wrapText="1"/>
    </x:xf>
    <x:xf numFmtId="0" fontId="1" fillId="4" borderId="3" xfId="0" applyNumberFormat="1" applyFont="1" applyFill="1" applyBorder="1" applyAlignment="1">
      <x:alignment horizontal="center" vertical="top" wrapText="1"/>
    </x:xf>
    <x:xf numFmtId="0" fontId="1" fillId="4" borderId="21" xfId="0" applyNumberFormat="1" applyFont="1" applyFill="1" applyBorder="1" applyAlignment="1">
      <x:alignment horizontal="center" vertical="top" wrapText="1"/>
    </x:xf>
    <x:xf numFmtId="0" fontId="1" fillId="4" borderId="16" xfId="0" applyNumberFormat="1" applyFont="1" applyFill="1" applyBorder="1" applyAlignment="1">
      <x:alignment horizontal="center" vertical="center" wrapText="1"/>
    </x:xf>
    <x:xf numFmtId="0" fontId="1" fillId="4" borderId="23" xfId="0" applyNumberFormat="1" applyFont="1" applyFill="1" applyBorder="1" applyAlignment="1">
      <x:alignment horizontal="center" vertical="center" wrapText="1"/>
    </x:xf>
    <x:xf numFmtId="0" fontId="1" fillId="4" borderId="17" xfId="0" applyNumberFormat="1" applyFont="1" applyFill="1" applyBorder="1" applyAlignment="1">
      <x:alignment horizontal="center" vertical="center" wrapText="1"/>
    </x:xf>
    <x:xf numFmtId="0" fontId="1" fillId="4" borderId="18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19" xfId="0" applyNumberFormat="1" applyFont="1" applyFill="1" applyBorder="1" applyAlignment="1">
      <x:alignment horizontal="center" vertical="center" wrapText="1"/>
    </x:xf>
    <x:xf numFmtId="0" fontId="1" fillId="4" borderId="20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1" fillId="4" borderId="21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 applyAlignment="1">
      <x:alignment vertical="top" wrapText="1"/>
    </x:xf>
    <x:xf numFmtId="0" fontId="1" fillId="2" borderId="22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vertical="top" wrapText="1"/>
    </x:xf>
    <x:xf numFmtId="0" fontId="1" fillId="2" borderId="12" xfId="0" applyNumberFormat="1" applyFont="1" applyFill="1" applyBorder="1" applyAlignment="1">
      <x:alignment vertical="top" wrapText="1"/>
    </x:xf>
    <x:xf numFmtId="0" fontId="1" fillId="2" borderId="13" xfId="0" applyNumberFormat="1" applyFont="1" applyFill="1" applyBorder="1" applyAlignment="1">
      <x:alignment vertical="top" wrapText="1"/>
    </x:xf>
    <x:xf numFmtId="0" fontId="1" fillId="2" borderId="14" xfId="0" applyNumberFormat="1" applyFont="1" applyFill="1" applyBorder="1" applyAlignment="1">
      <x:alignment vertical="top" wrapText="1"/>
    </x:xf>
    <x:xf numFmtId="0" fontId="1" fillId="2" borderId="15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top" wrapText="1"/>
    </x:xf>
    <x:xf numFmtId="0" fontId="1" fillId="2" borderId="22" xfId="0" applyNumberFormat="1" applyFont="1" applyFill="1" applyBorder="1" applyAlignment="1">
      <x:alignment horizontal="center"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3" xfId="0" applyNumberFormat="1" applyFont="1" applyFill="1" applyBorder="1" applyAlignment="1">
      <x:alignment horizontal="center" vertical="top" wrapText="1"/>
    </x:xf>
    <x:xf numFmtId="0" fontId="1" fillId="2" borderId="14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15" xfId="0" applyNumberFormat="1" applyFont="1" applyFill="1" applyBorder="1" applyAlignment="1">
      <x:alignment horizontal="center"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22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1" fillId="2" borderId="14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15" xfId="0" applyNumberFormat="1" applyFont="1" applyFill="1" applyBorder="1" applyAlignment="1">
      <x:alignment horizontal="center" vertical="center" wrapText="1"/>
    </x:xf>
    <x:xf numFmtId="0" fontId="1" fillId="2" borderId="16" xfId="0" applyNumberFormat="1" applyFont="1" applyFill="1" applyBorder="1" applyAlignment="1">
      <x:alignment vertical="top" wrapText="1"/>
    </x:xf>
    <x:xf numFmtId="0" fontId="1" fillId="2" borderId="23" xfId="0" applyNumberFormat="1" applyFont="1" applyFill="1" applyBorder="1" applyAlignment="1">
      <x:alignment vertical="top" wrapText="1"/>
    </x:xf>
    <x:xf numFmtId="0" fontId="1" fillId="2" borderId="17" xfId="0" applyNumberFormat="1" applyFont="1" applyFill="1" applyBorder="1" applyAlignment="1">
      <x:alignment vertical="top" wrapText="1"/>
    </x:xf>
    <x:xf numFmtId="0" fontId="1" fillId="2" borderId="18" xfId="0" applyNumberFormat="1" applyFont="1" applyFill="1" applyBorder="1" applyAlignment="1">
      <x:alignment vertical="top" wrapText="1"/>
    </x:xf>
    <x:xf numFmtId="0" fontId="1" fillId="2" borderId="19" xfId="0" applyNumberFormat="1" applyFont="1" applyFill="1" applyBorder="1" applyAlignment="1">
      <x:alignment vertical="top" wrapText="1"/>
    </x:xf>
    <x:xf numFmtId="0" fontId="1" fillId="2" borderId="20" xfId="0" applyNumberFormat="1" applyFont="1" applyFill="1" applyBorder="1" applyAlignment="1">
      <x:alignment vertical="top" wrapText="1"/>
    </x:xf>
    <x:xf numFmtId="0" fontId="1" fillId="2" borderId="21" xfId="0" applyNumberFormat="1" applyFont="1" applyFill="1" applyBorder="1" applyAlignment="1">
      <x:alignment vertical="top" wrapText="1"/>
    </x:xf>
    <x:xf numFmtId="0" fontId="1" fillId="2" borderId="16" xfId="0" applyNumberFormat="1" applyFont="1" applyFill="1" applyBorder="1" applyAlignment="1">
      <x:alignment horizontal="center" vertical="top" wrapText="1"/>
    </x:xf>
    <x:xf numFmtId="0" fontId="1" fillId="2" borderId="23" xfId="0" applyNumberFormat="1" applyFont="1" applyFill="1" applyBorder="1" applyAlignment="1">
      <x:alignment horizontal="center" vertical="top" wrapText="1"/>
    </x:xf>
    <x:xf numFmtId="0" fontId="1" fillId="2" borderId="17" xfId="0" applyNumberFormat="1" applyFont="1" applyFill="1" applyBorder="1" applyAlignment="1">
      <x:alignment horizontal="center" vertical="top" wrapText="1"/>
    </x:xf>
    <x:xf numFmtId="0" fontId="1" fillId="2" borderId="18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19" xfId="0" applyNumberFormat="1" applyFont="1" applyFill="1" applyBorder="1" applyAlignment="1">
      <x:alignment horizontal="center" vertical="top" wrapText="1"/>
    </x:xf>
    <x:xf numFmtId="0" fontId="1" fillId="2" borderId="20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21" xfId="0" applyNumberFormat="1" applyFont="1" applyFill="1" applyBorder="1" applyAlignment="1">
      <x:alignment horizontal="center" vertical="top" wrapText="1"/>
    </x:xf>
    <x:xf numFmtId="0" fontId="1" fillId="2" borderId="16" xfId="0" applyNumberFormat="1" applyFont="1" applyFill="1" applyBorder="1" applyAlignment="1">
      <x:alignment horizontal="center" vertical="center" wrapText="1"/>
    </x:xf>
    <x:xf numFmtId="0" fontId="1" fillId="2" borderId="23" xfId="0" applyNumberFormat="1" applyFont="1" applyFill="1" applyBorder="1" applyAlignment="1">
      <x:alignment horizontal="center" vertical="center" wrapText="1"/>
    </x:xf>
    <x:xf numFmtId="0" fontId="1" fillId="2" borderId="17" xfId="0" applyNumberFormat="1" applyFont="1" applyFill="1" applyBorder="1" applyAlignment="1">
      <x:alignment horizontal="center" vertical="center" wrapText="1"/>
    </x:xf>
    <x:xf numFmtId="0" fontId="1" fillId="2" borderId="18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19" xfId="0" applyNumberFormat="1" applyFont="1" applyFill="1" applyBorder="1" applyAlignment="1">
      <x:alignment horizontal="center" vertical="center" wrapText="1"/>
    </x:xf>
    <x:xf numFmtId="0" fontId="1" fillId="2" borderId="20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2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center" wrapText="1"/>
    </x:xf>
    <x:xf numFmtId="0" fontId="1" fillId="7" borderId="2" xfId="0" applyNumberFormat="1" applyFont="1" applyFill="1" applyBorder="1" applyAlignment="1">
      <x:alignment horizontal="center" vertic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vertical="top" wrapText="1"/>
    </x:xf>
    <x:xf numFmtId="0" fontId="5" fillId="2" borderId="3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4" fillId="7" borderId="3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6" fillId="11" borderId="0" xfId="0" applyNumberFormat="1" applyFont="1" applyFill="1" applyBorder="1" applyAlignment="1">
      <x:alignment vertical="center" wrapText="1"/>
    </x:xf>
    <x:xf numFmtId="0" fontId="6" fillId="11" borderId="0" xfId="0" applyNumberFormat="1" applyFont="1" applyFill="1" applyBorder="1" applyAlignment="1">
      <x:alignment horizontal="center" vertical="center" wrapText="1"/>
    </x:xf>
    <x:xf numFmtId="0" fontId="1" fillId="11" borderId="1" xfId="0" applyNumberFormat="1" applyFont="1" applyFill="1" applyBorder="1" applyAlignment="1">
      <x:alignment vertical="center" wrapText="1"/>
    </x:xf>
    <x:xf numFmtId="0" fontId="6" fillId="11" borderId="1" xfId="0" applyNumberFormat="1" applyFont="1" applyFill="1" applyBorder="1" applyAlignment="1">
      <x:alignment vertical="center" wrapText="1"/>
    </x:xf>
    <x:xf numFmtId="0" fontId="6" fillId="11" borderId="1" xfId="0" applyNumberFormat="1" applyFont="1" applyFill="1" applyBorder="1" applyAlignment="1">
      <x:alignment horizontal="center" vertical="center" wrapText="1"/>
    </x:xf>
    <x:xf numFmtId="203" fontId="6" fillId="11" borderId="0" xfId="0" applyNumberFormat="1" applyFont="1" applyFill="1" applyBorder="1" applyAlignment="1">
      <x:alignment horizontal="center" vertical="center" wrapText="1"/>
    </x:xf>
    <x:xf numFmtId="203" fontId="6" fillId="11" borderId="1" xfId="0" applyNumberFormat="1" applyFont="1" applyFill="1" applyBorder="1" applyAlignment="1">
      <x:alignment horizontal="center" vertical="center" wrapText="1"/>
    </x:xf>
    <x:xf numFmtId="201" fontId="6" fillId="11" borderId="0" xfId="0" applyNumberFormat="1" applyFont="1" applyFill="1" applyBorder="1" applyAlignment="1">
      <x:alignment horizontal="center" vertical="center" wrapText="1"/>
    </x:xf>
    <x:xf numFmtId="201" fontId="6" fillId="11" borderId="1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203" fontId="7" fillId="2" borderId="0" xfId="0" applyNumberFormat="1" applyFont="1" applyFill="1" applyBorder="1" applyAlignment="1">
      <x:alignment horizontal="center" vertical="center" wrapText="1"/>
    </x:xf>
    <x:xf numFmtId="203" fontId="7" fillId="2" borderId="1" xfId="0" applyNumberFormat="1" applyFont="1" applyFill="1" applyBorder="1" applyAlignment="1">
      <x:alignment horizontal="center" vertical="center" wrapText="1"/>
    </x:xf>
    <x:xf numFmtId="203" fontId="7" fillId="7" borderId="0" xfId="0" applyNumberFormat="1" applyFont="1" applyFill="1" applyBorder="1" applyAlignment="1">
      <x:alignment horizontal="center" vertical="center" wrapText="1"/>
    </x:xf>
    <x:xf numFmtId="203" fontId="7" fillId="7" borderId="1" xfId="0" applyNumberFormat="1" applyFont="1" applyFill="1" applyBorder="1" applyAlignment="1">
      <x:alignment horizontal="center" vertical="center" wrapText="1"/>
    </x:xf>
    <x:xf numFmtId="200" fontId="7" fillId="2" borderId="0" xfId="0" applyNumberFormat="1" applyFont="1" applyFill="1" applyBorder="1" applyAlignment="1">
      <x:alignment horizontal="center" vertical="center" wrapText="1"/>
    </x:xf>
    <x:xf numFmtId="200" fontId="7" fillId="7" borderId="0" xfId="0" applyNumberFormat="1" applyFont="1" applyFill="1" applyBorder="1" applyAlignment="1">
      <x:alignment horizontal="center" vertical="center" wrapText="1"/>
    </x:xf>
    <x:xf numFmtId="200" fontId="7" fillId="2" borderId="1" xfId="0" applyNumberFormat="1" applyFont="1" applyFill="1" applyBorder="1" applyAlignment="1">
      <x:alignment horizontal="center" vertical="center" wrapText="1"/>
    </x:xf>
    <x:xf numFmtId="200" fontId="7" fillId="7" borderId="1" xfId="0" applyNumberFormat="1" applyFont="1" applyFill="1" applyBorder="1" applyAlignment="1">
      <x:alignment horizontal="center" vertical="center" wrapText="1"/>
    </x:xf>
    <x:xf numFmtId="0" fontId="4" fillId="8" borderId="10" xfId="0" applyNumberFormat="1" applyFont="1" applyFill="1" applyBorder="1" applyAlignment="1">
      <x:alignment vertical="top" wrapText="1"/>
    </x:xf>
    <x:xf numFmtId="0" fontId="4" fillId="8" borderId="22" xfId="0" applyNumberFormat="1" applyFont="1" applyFill="1" applyBorder="1" applyAlignment="1">
      <x:alignment vertical="top" wrapText="1"/>
    </x:xf>
    <x:xf numFmtId="0" fontId="4" fillId="8" borderId="11" xfId="0" applyNumberFormat="1" applyFont="1" applyFill="1" applyBorder="1" applyAlignment="1">
      <x:alignment vertical="top" wrapText="1"/>
    </x:xf>
    <x:xf numFmtId="0" fontId="4" fillId="8" borderId="12" xfId="0" applyNumberFormat="1" applyFont="1" applyFill="1" applyBorder="1" applyAlignment="1">
      <x:alignment vertical="top" wrapText="1"/>
    </x:xf>
    <x:xf numFmtId="0" fontId="4" fillId="8" borderId="13" xfId="0" applyNumberFormat="1" applyFont="1" applyFill="1" applyBorder="1" applyAlignment="1">
      <x:alignment vertical="top" wrapText="1"/>
    </x:xf>
    <x:xf numFmtId="0" fontId="4" fillId="8" borderId="14" xfId="0" applyNumberFormat="1" applyFont="1" applyFill="1" applyBorder="1" applyAlignment="1">
      <x:alignment vertical="top" wrapText="1"/>
    </x:xf>
    <x:xf numFmtId="0" fontId="4" fillId="8" borderId="2" xfId="0" applyNumberFormat="1" applyFont="1" applyFill="1" applyBorder="1" applyAlignment="1">
      <x:alignment vertical="top" wrapText="1"/>
    </x:xf>
    <x:xf numFmtId="0" fontId="4" fillId="8" borderId="15" xfId="0" applyNumberFormat="1" applyFont="1" applyFill="1" applyBorder="1" applyAlignment="1">
      <x:alignment vertical="top" wrapText="1"/>
    </x:xf>
    <x:xf numFmtId="200" fontId="4" fillId="8" borderId="10" xfId="0" applyNumberFormat="1" applyFont="1" applyFill="1" applyBorder="1" applyAlignment="1">
      <x:alignment vertical="top" wrapText="1"/>
    </x:xf>
    <x:xf numFmtId="200" fontId="4" fillId="8" borderId="22" xfId="0" applyNumberFormat="1" applyFont="1" applyFill="1" applyBorder="1" applyAlignment="1">
      <x:alignment vertical="top" wrapText="1"/>
    </x:xf>
    <x:xf numFmtId="200" fontId="4" fillId="8" borderId="11" xfId="0" applyNumberFormat="1" applyFont="1" applyFill="1" applyBorder="1" applyAlignment="1">
      <x:alignment vertical="top" wrapText="1"/>
    </x:xf>
    <x:xf numFmtId="200" fontId="4" fillId="8" borderId="12" xfId="0" applyNumberFormat="1" applyFont="1" applyFill="1" applyBorder="1" applyAlignment="1">
      <x:alignment vertical="top" wrapText="1"/>
    </x:xf>
    <x:xf numFmtId="200" fontId="4" fillId="8" borderId="0" xfId="0" applyNumberFormat="1" applyFont="1" applyFill="1" applyBorder="1" applyAlignment="1">
      <x:alignment vertical="top" wrapText="1"/>
    </x:xf>
    <x:xf numFmtId="200" fontId="4" fillId="8" borderId="13" xfId="0" applyNumberFormat="1" applyFont="1" applyFill="1" applyBorder="1" applyAlignment="1">
      <x:alignment vertical="top" wrapText="1"/>
    </x:xf>
    <x:xf numFmtId="200" fontId="4" fillId="8" borderId="14" xfId="0" applyNumberFormat="1" applyFont="1" applyFill="1" applyBorder="1" applyAlignment="1">
      <x:alignment vertical="top" wrapText="1"/>
    </x:xf>
    <x:xf numFmtId="200" fontId="4" fillId="8" borderId="2" xfId="0" applyNumberFormat="1" applyFont="1" applyFill="1" applyBorder="1" applyAlignment="1">
      <x:alignment vertical="top" wrapText="1"/>
    </x:xf>
    <x:xf numFmtId="200" fontId="4" fillId="8" borderId="15" xfId="0" applyNumberFormat="1" applyFont="1" applyFill="1" applyBorder="1" applyAlignment="1">
      <x:alignment vertical="top" wrapText="1"/>
    </x:xf>
    <x:xf numFmtId="200" fontId="4" fillId="8" borderId="10" xfId="0" applyNumberFormat="1" applyFont="1" applyFill="1" applyBorder="1" applyAlignment="1">
      <x:alignment horizontal="center" vertical="top" wrapText="1"/>
    </x:xf>
    <x:xf numFmtId="200" fontId="4" fillId="8" borderId="22" xfId="0" applyNumberFormat="1" applyFont="1" applyFill="1" applyBorder="1" applyAlignment="1">
      <x:alignment horizontal="center" vertical="top" wrapText="1"/>
    </x:xf>
    <x:xf numFmtId="200" fontId="4" fillId="8" borderId="11" xfId="0" applyNumberFormat="1" applyFont="1" applyFill="1" applyBorder="1" applyAlignment="1">
      <x:alignment horizontal="center" vertical="top" wrapText="1"/>
    </x:xf>
    <x:xf numFmtId="200" fontId="4" fillId="8" borderId="12" xfId="0" applyNumberFormat="1" applyFont="1" applyFill="1" applyBorder="1" applyAlignment="1">
      <x:alignment horizontal="center" vertical="top" wrapText="1"/>
    </x:xf>
    <x:xf numFmtId="200" fontId="4" fillId="8" borderId="0" xfId="0" applyNumberFormat="1" applyFont="1" applyFill="1" applyBorder="1" applyAlignment="1">
      <x:alignment horizontal="center" vertical="top" wrapText="1"/>
    </x:xf>
    <x:xf numFmtId="200" fontId="4" fillId="8" borderId="13" xfId="0" applyNumberFormat="1" applyFont="1" applyFill="1" applyBorder="1" applyAlignment="1">
      <x:alignment horizontal="center" vertical="top" wrapText="1"/>
    </x:xf>
    <x:xf numFmtId="200" fontId="4" fillId="8" borderId="14" xfId="0" applyNumberFormat="1" applyFont="1" applyFill="1" applyBorder="1" applyAlignment="1">
      <x:alignment horizontal="center" vertical="top" wrapText="1"/>
    </x:xf>
    <x:xf numFmtId="200" fontId="4" fillId="8" borderId="2" xfId="0" applyNumberFormat="1" applyFont="1" applyFill="1" applyBorder="1" applyAlignment="1">
      <x:alignment horizontal="center" vertical="top" wrapText="1"/>
    </x:xf>
    <x:xf numFmtId="200" fontId="4" fillId="8" borderId="15" xfId="0" applyNumberFormat="1" applyFont="1" applyFill="1" applyBorder="1" applyAlignment="1">
      <x:alignment horizontal="center" vertical="top" wrapText="1"/>
    </x:xf>
    <x:xf numFmtId="200" fontId="4" fillId="8" borderId="10" xfId="0" applyNumberFormat="1" applyFont="1" applyFill="1" applyBorder="1" applyAlignment="1">
      <x:alignment horizontal="center" vertical="center" wrapText="1"/>
    </x:xf>
    <x:xf numFmtId="200" fontId="4" fillId="8" borderId="22" xfId="0" applyNumberFormat="1" applyFont="1" applyFill="1" applyBorder="1" applyAlignment="1">
      <x:alignment horizontal="center" vertical="center" wrapText="1"/>
    </x:xf>
    <x:xf numFmtId="200" fontId="4" fillId="8" borderId="11" xfId="0" applyNumberFormat="1" applyFont="1" applyFill="1" applyBorder="1" applyAlignment="1">
      <x:alignment horizontal="center" vertical="center" wrapText="1"/>
    </x:xf>
    <x:xf numFmtId="200" fontId="4" fillId="8" borderId="12" xfId="0" applyNumberFormat="1" applyFont="1" applyFill="1" applyBorder="1" applyAlignment="1">
      <x:alignment horizontal="center" vertical="center" wrapText="1"/>
    </x:xf>
    <x:xf numFmtId="200" fontId="4" fillId="8" borderId="0" xfId="0" applyNumberFormat="1" applyFont="1" applyFill="1" applyBorder="1" applyAlignment="1">
      <x:alignment horizontal="center" vertical="center" wrapText="1"/>
    </x:xf>
    <x:xf numFmtId="200" fontId="4" fillId="8" borderId="13" xfId="0" applyNumberFormat="1" applyFont="1" applyFill="1" applyBorder="1" applyAlignment="1">
      <x:alignment horizontal="center" vertical="center" wrapText="1"/>
    </x:xf>
    <x:xf numFmtId="200" fontId="4" fillId="8" borderId="14" xfId="0" applyNumberFormat="1" applyFont="1" applyFill="1" applyBorder="1" applyAlignment="1">
      <x:alignment horizontal="center" vertical="center" wrapText="1"/>
    </x:xf>
    <x:xf numFmtId="200" fontId="4" fillId="8" borderId="2" xfId="0" applyNumberFormat="1" applyFont="1" applyFill="1" applyBorder="1" applyAlignment="1">
      <x:alignment horizontal="center" vertical="center" wrapText="1"/>
    </x:xf>
    <x:xf numFmtId="200" fontId="4" fillId="8" borderId="15" xfId="0" applyNumberFormat="1" applyFont="1" applyFill="1" applyBorder="1" applyAlignment="1">
      <x:alignment horizontal="center" vertical="center" wrapText="1"/>
    </x:xf>
    <x:xf numFmtId="0" fontId="4" fillId="8" borderId="16" xfId="0" applyNumberFormat="1" applyFont="1" applyFill="1" applyBorder="1" applyAlignment="1">
      <x:alignment vertical="top" wrapText="1"/>
    </x:xf>
    <x:xf numFmtId="0" fontId="4" fillId="8" borderId="23" xfId="0" applyNumberFormat="1" applyFont="1" applyFill="1" applyBorder="1" applyAlignment="1">
      <x:alignment vertical="top" wrapText="1"/>
    </x:xf>
    <x:xf numFmtId="0" fontId="4" fillId="8" borderId="17" xfId="0" applyNumberFormat="1" applyFont="1" applyFill="1" applyBorder="1" applyAlignment="1">
      <x:alignment vertical="top" wrapText="1"/>
    </x:xf>
    <x:xf numFmtId="0" fontId="4" fillId="8" borderId="18" xfId="0" applyNumberFormat="1" applyFont="1" applyFill="1" applyBorder="1" applyAlignment="1">
      <x:alignment vertical="top" wrapText="1"/>
    </x:xf>
    <x:xf numFmtId="0" fontId="4" fillId="8" borderId="19" xfId="0" applyNumberFormat="1" applyFont="1" applyFill="1" applyBorder="1" applyAlignment="1">
      <x:alignment vertical="top" wrapText="1"/>
    </x:xf>
    <x:xf numFmtId="0" fontId="4" fillId="8" borderId="20" xfId="0" applyNumberFormat="1" applyFont="1" applyFill="1" applyBorder="1" applyAlignment="1">
      <x:alignment vertical="top" wrapText="1"/>
    </x:xf>
    <x:xf numFmtId="0" fontId="4" fillId="8" borderId="3" xfId="0" applyNumberFormat="1" applyFont="1" applyFill="1" applyBorder="1" applyAlignment="1">
      <x:alignment vertical="top" wrapText="1"/>
    </x:xf>
    <x:xf numFmtId="0" fontId="4" fillId="8" borderId="21" xfId="0" applyNumberFormat="1" applyFont="1" applyFill="1" applyBorder="1" applyAlignment="1">
      <x:alignment vertical="top" wrapText="1"/>
    </x:xf>
    <x:xf numFmtId="200" fontId="4" fillId="8" borderId="16" xfId="0" applyNumberFormat="1" applyFont="1" applyFill="1" applyBorder="1" applyAlignment="1">
      <x:alignment vertical="top" wrapText="1"/>
    </x:xf>
    <x:xf numFmtId="200" fontId="4" fillId="8" borderId="23" xfId="0" applyNumberFormat="1" applyFont="1" applyFill="1" applyBorder="1" applyAlignment="1">
      <x:alignment vertical="top" wrapText="1"/>
    </x:xf>
    <x:xf numFmtId="200" fontId="4" fillId="8" borderId="17" xfId="0" applyNumberFormat="1" applyFont="1" applyFill="1" applyBorder="1" applyAlignment="1">
      <x:alignment vertical="top" wrapText="1"/>
    </x:xf>
    <x:xf numFmtId="200" fontId="4" fillId="8" borderId="18" xfId="0" applyNumberFormat="1" applyFont="1" applyFill="1" applyBorder="1" applyAlignment="1">
      <x:alignment vertical="top" wrapText="1"/>
    </x:xf>
    <x:xf numFmtId="200" fontId="4" fillId="8" borderId="1" xfId="0" applyNumberFormat="1" applyFont="1" applyFill="1" applyBorder="1" applyAlignment="1">
      <x:alignment vertical="top" wrapText="1"/>
    </x:xf>
    <x:xf numFmtId="200" fontId="4" fillId="8" borderId="19" xfId="0" applyNumberFormat="1" applyFont="1" applyFill="1" applyBorder="1" applyAlignment="1">
      <x:alignment vertical="top" wrapText="1"/>
    </x:xf>
    <x:xf numFmtId="200" fontId="4" fillId="8" borderId="20" xfId="0" applyNumberFormat="1" applyFont="1" applyFill="1" applyBorder="1" applyAlignment="1">
      <x:alignment vertical="top" wrapText="1"/>
    </x:xf>
    <x:xf numFmtId="200" fontId="4" fillId="8" borderId="3" xfId="0" applyNumberFormat="1" applyFont="1" applyFill="1" applyBorder="1" applyAlignment="1">
      <x:alignment vertical="top" wrapText="1"/>
    </x:xf>
    <x:xf numFmtId="200" fontId="4" fillId="8" borderId="21" xfId="0" applyNumberFormat="1" applyFont="1" applyFill="1" applyBorder="1" applyAlignment="1">
      <x:alignment vertical="top" wrapText="1"/>
    </x:xf>
    <x:xf numFmtId="200" fontId="4" fillId="8" borderId="16" xfId="0" applyNumberFormat="1" applyFont="1" applyFill="1" applyBorder="1" applyAlignment="1">
      <x:alignment horizontal="center" vertical="top" wrapText="1"/>
    </x:xf>
    <x:xf numFmtId="200" fontId="4" fillId="8" borderId="23" xfId="0" applyNumberFormat="1" applyFont="1" applyFill="1" applyBorder="1" applyAlignment="1">
      <x:alignment horizontal="center" vertical="top" wrapText="1"/>
    </x:xf>
    <x:xf numFmtId="200" fontId="4" fillId="8" borderId="17" xfId="0" applyNumberFormat="1" applyFont="1" applyFill="1" applyBorder="1" applyAlignment="1">
      <x:alignment horizontal="center" vertical="top" wrapText="1"/>
    </x:xf>
    <x:xf numFmtId="200" fontId="4" fillId="8" borderId="18" xfId="0" applyNumberFormat="1" applyFont="1" applyFill="1" applyBorder="1" applyAlignment="1">
      <x:alignment horizontal="center" vertical="top" wrapText="1"/>
    </x:xf>
    <x:xf numFmtId="200" fontId="4" fillId="8" borderId="1" xfId="0" applyNumberFormat="1" applyFont="1" applyFill="1" applyBorder="1" applyAlignment="1">
      <x:alignment horizontal="center" vertical="top" wrapText="1"/>
    </x:xf>
    <x:xf numFmtId="200" fontId="4" fillId="8" borderId="19" xfId="0" applyNumberFormat="1" applyFont="1" applyFill="1" applyBorder="1" applyAlignment="1">
      <x:alignment horizontal="center" vertical="top" wrapText="1"/>
    </x:xf>
    <x:xf numFmtId="200" fontId="4" fillId="8" borderId="20" xfId="0" applyNumberFormat="1" applyFont="1" applyFill="1" applyBorder="1" applyAlignment="1">
      <x:alignment horizontal="center" vertical="top" wrapText="1"/>
    </x:xf>
    <x:xf numFmtId="200" fontId="4" fillId="8" borderId="3" xfId="0" applyNumberFormat="1" applyFont="1" applyFill="1" applyBorder="1" applyAlignment="1">
      <x:alignment horizontal="center" vertical="top" wrapText="1"/>
    </x:xf>
    <x:xf numFmtId="200" fontId="4" fillId="8" borderId="21" xfId="0" applyNumberFormat="1" applyFont="1" applyFill="1" applyBorder="1" applyAlignment="1">
      <x:alignment horizontal="center" vertical="top" wrapText="1"/>
    </x:xf>
    <x:xf numFmtId="200" fontId="4" fillId="8" borderId="16" xfId="0" applyNumberFormat="1" applyFont="1" applyFill="1" applyBorder="1" applyAlignment="1">
      <x:alignment horizontal="center" vertical="center" wrapText="1"/>
    </x:xf>
    <x:xf numFmtId="200" fontId="4" fillId="8" borderId="23" xfId="0" applyNumberFormat="1" applyFont="1" applyFill="1" applyBorder="1" applyAlignment="1">
      <x:alignment horizontal="center" vertical="center" wrapText="1"/>
    </x:xf>
    <x:xf numFmtId="200" fontId="4" fillId="8" borderId="17" xfId="0" applyNumberFormat="1" applyFont="1" applyFill="1" applyBorder="1" applyAlignment="1">
      <x:alignment horizontal="center" vertical="center" wrapText="1"/>
    </x:xf>
    <x:xf numFmtId="200" fontId="4" fillId="8" borderId="18" xfId="0" applyNumberFormat="1" applyFont="1" applyFill="1" applyBorder="1" applyAlignment="1">
      <x:alignment horizontal="center" vertical="center" wrapText="1"/>
    </x:xf>
    <x:xf numFmtId="200" fontId="4" fillId="8" borderId="1" xfId="0" applyNumberFormat="1" applyFont="1" applyFill="1" applyBorder="1" applyAlignment="1">
      <x:alignment horizontal="center" vertical="center" wrapText="1"/>
    </x:xf>
    <x:xf numFmtId="200" fontId="4" fillId="8" borderId="19" xfId="0" applyNumberFormat="1" applyFont="1" applyFill="1" applyBorder="1" applyAlignment="1">
      <x:alignment horizontal="center" vertical="center" wrapText="1"/>
    </x:xf>
    <x:xf numFmtId="200" fontId="4" fillId="8" borderId="20" xfId="0" applyNumberFormat="1" applyFont="1" applyFill="1" applyBorder="1" applyAlignment="1">
      <x:alignment horizontal="center" vertical="center" wrapText="1"/>
    </x:xf>
    <x:xf numFmtId="200" fontId="4" fillId="8" borderId="3" xfId="0" applyNumberFormat="1" applyFont="1" applyFill="1" applyBorder="1" applyAlignment="1">
      <x:alignment horizontal="center" vertical="center" wrapText="1"/>
    </x:xf>
    <x:xf numFmtId="200" fontId="4" fillId="8" borderId="21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0" borderId="10" xfId="0" applyNumberFormat="1" applyFont="1" applyFill="1" applyBorder="1" applyAlignment="1">
      <x:alignment vertical="top" wrapText="1"/>
    </x:xf>
    <x:xf numFmtId="0" fontId="4" fillId="10" borderId="11" xfId="0" applyNumberFormat="1" applyFont="1" applyFill="1" applyBorder="1" applyAlignment="1">
      <x:alignment vertical="top" wrapText="1"/>
    </x:xf>
    <x:xf numFmtId="0" fontId="4" fillId="10" borderId="12" xfId="0" applyNumberFormat="1" applyFont="1" applyFill="1" applyBorder="1" applyAlignment="1">
      <x:alignment vertical="top" wrapText="1"/>
    </x:xf>
    <x:xf numFmtId="0" fontId="4" fillId="10" borderId="13" xfId="0" applyNumberFormat="1" applyFont="1" applyFill="1" applyBorder="1" applyAlignment="1">
      <x:alignment vertical="top" wrapText="1"/>
    </x:xf>
    <x:xf numFmtId="0" fontId="4" fillId="10" borderId="14" xfId="0" applyNumberFormat="1" applyFont="1" applyFill="1" applyBorder="1" applyAlignment="1">
      <x:alignment vertical="top" wrapText="1"/>
    </x:xf>
    <x:xf numFmtId="0" fontId="4" fillId="10" borderId="15" xfId="0" applyNumberFormat="1" applyFont="1" applyFill="1" applyBorder="1" applyAlignment="1">
      <x:alignment vertical="top" wrapText="1"/>
    </x:xf>
    <x:xf numFmtId="200" fontId="4" fillId="10" borderId="10" xfId="0" applyNumberFormat="1" applyFont="1" applyFill="1" applyBorder="1" applyAlignment="1">
      <x:alignment vertical="top" wrapText="1"/>
    </x:xf>
    <x:xf numFmtId="200" fontId="4" fillId="10" borderId="11" xfId="0" applyNumberFormat="1" applyFont="1" applyFill="1" applyBorder="1" applyAlignment="1">
      <x:alignment vertical="top" wrapText="1"/>
    </x:xf>
    <x:xf numFmtId="200" fontId="4" fillId="10" borderId="12" xfId="0" applyNumberFormat="1" applyFont="1" applyFill="1" applyBorder="1" applyAlignment="1">
      <x:alignment vertical="top" wrapText="1"/>
    </x:xf>
    <x:xf numFmtId="200" fontId="4" fillId="10" borderId="13" xfId="0" applyNumberFormat="1" applyFont="1" applyFill="1" applyBorder="1" applyAlignment="1">
      <x:alignment vertical="top" wrapText="1"/>
    </x:xf>
    <x:xf numFmtId="200" fontId="4" fillId="10" borderId="14" xfId="0" applyNumberFormat="1" applyFont="1" applyFill="1" applyBorder="1" applyAlignment="1">
      <x:alignment vertical="top" wrapText="1"/>
    </x:xf>
    <x:xf numFmtId="200" fontId="4" fillId="10" borderId="15" xfId="0" applyNumberFormat="1" applyFont="1" applyFill="1" applyBorder="1" applyAlignment="1">
      <x:alignment vertical="top" wrapText="1"/>
    </x:xf>
    <x:xf numFmtId="200" fontId="4" fillId="10" borderId="10" xfId="0" applyNumberFormat="1" applyFont="1" applyFill="1" applyBorder="1" applyAlignment="1">
      <x:alignment horizontal="center" vertical="top" wrapText="1"/>
    </x:xf>
    <x:xf numFmtId="200" fontId="4" fillId="10" borderId="11" xfId="0" applyNumberFormat="1" applyFont="1" applyFill="1" applyBorder="1" applyAlignment="1">
      <x:alignment horizontal="center" vertical="top" wrapText="1"/>
    </x:xf>
    <x:xf numFmtId="200" fontId="4" fillId="10" borderId="12" xfId="0" applyNumberFormat="1" applyFont="1" applyFill="1" applyBorder="1" applyAlignment="1">
      <x:alignment horizontal="center" vertical="top" wrapText="1"/>
    </x:xf>
    <x:xf numFmtId="200" fontId="4" fillId="10" borderId="13" xfId="0" applyNumberFormat="1" applyFont="1" applyFill="1" applyBorder="1" applyAlignment="1">
      <x:alignment horizontal="center" vertical="top" wrapText="1"/>
    </x:xf>
    <x:xf numFmtId="200" fontId="4" fillId="10" borderId="14" xfId="0" applyNumberFormat="1" applyFont="1" applyFill="1" applyBorder="1" applyAlignment="1">
      <x:alignment horizontal="center" vertical="top" wrapText="1"/>
    </x:xf>
    <x:xf numFmtId="200" fontId="4" fillId="10" borderId="15" xfId="0" applyNumberFormat="1" applyFont="1" applyFill="1" applyBorder="1" applyAlignment="1">
      <x:alignment horizontal="center" vertical="top" wrapText="1"/>
    </x:xf>
    <x:xf numFmtId="200" fontId="4" fillId="10" borderId="10" xfId="0" applyNumberFormat="1" applyFont="1" applyFill="1" applyBorder="1" applyAlignment="1">
      <x:alignment horizontal="center" vertical="center" wrapText="1"/>
    </x:xf>
    <x:xf numFmtId="200" fontId="4" fillId="10" borderId="11" xfId="0" applyNumberFormat="1" applyFont="1" applyFill="1" applyBorder="1" applyAlignment="1">
      <x:alignment horizontal="center" vertical="center" wrapText="1"/>
    </x:xf>
    <x:xf numFmtId="200" fontId="4" fillId="10" borderId="12" xfId="0" applyNumberFormat="1" applyFont="1" applyFill="1" applyBorder="1" applyAlignment="1">
      <x:alignment horizontal="center" vertical="center" wrapText="1"/>
    </x:xf>
    <x:xf numFmtId="200" fontId="4" fillId="10" borderId="13" xfId="0" applyNumberFormat="1" applyFont="1" applyFill="1" applyBorder="1" applyAlignment="1">
      <x:alignment horizontal="center" vertical="center" wrapText="1"/>
    </x:xf>
    <x:xf numFmtId="200" fontId="4" fillId="10" borderId="14" xfId="0" applyNumberFormat="1" applyFont="1" applyFill="1" applyBorder="1" applyAlignment="1">
      <x:alignment horizontal="center" vertical="center" wrapText="1"/>
    </x:xf>
    <x:xf numFmtId="200" fontId="4" fillId="10" borderId="15" xfId="0" applyNumberFormat="1" applyFont="1" applyFill="1" applyBorder="1" applyAlignment="1">
      <x:alignment horizontal="center" vertical="center" wrapText="1"/>
    </x:xf>
    <x:xf numFmtId="0" fontId="4" fillId="10" borderId="1" xfId="0" applyNumberFormat="1" applyFont="1" applyFill="1" applyBorder="1" applyAlignment="1">
      <x:alignment vertical="top" wrapText="1"/>
    </x:xf>
    <x:xf numFmtId="0" fontId="4" fillId="10" borderId="16" xfId="0" applyNumberFormat="1" applyFont="1" applyFill="1" applyBorder="1" applyAlignment="1">
      <x:alignment vertical="top" wrapText="1"/>
    </x:xf>
    <x:xf numFmtId="0" fontId="4" fillId="10" borderId="17" xfId="0" applyNumberFormat="1" applyFont="1" applyFill="1" applyBorder="1" applyAlignment="1">
      <x:alignment vertical="top" wrapText="1"/>
    </x:xf>
    <x:xf numFmtId="0" fontId="4" fillId="10" borderId="18" xfId="0" applyNumberFormat="1" applyFont="1" applyFill="1" applyBorder="1" applyAlignment="1">
      <x:alignment vertical="top" wrapText="1"/>
    </x:xf>
    <x:xf numFmtId="0" fontId="4" fillId="10" borderId="19" xfId="0" applyNumberFormat="1" applyFont="1" applyFill="1" applyBorder="1" applyAlignment="1">
      <x:alignment vertical="top" wrapText="1"/>
    </x:xf>
    <x:xf numFmtId="0" fontId="4" fillId="10" borderId="20" xfId="0" applyNumberFormat="1" applyFont="1" applyFill="1" applyBorder="1" applyAlignment="1">
      <x:alignment vertical="top" wrapText="1"/>
    </x:xf>
    <x:xf numFmtId="0" fontId="4" fillId="10" borderId="21" xfId="0" applyNumberFormat="1" applyFont="1" applyFill="1" applyBorder="1" applyAlignment="1">
      <x:alignment vertical="top" wrapText="1"/>
    </x:xf>
    <x:xf numFmtId="200" fontId="4" fillId="10" borderId="16" xfId="0" applyNumberFormat="1" applyFont="1" applyFill="1" applyBorder="1" applyAlignment="1">
      <x:alignment vertical="top" wrapText="1"/>
    </x:xf>
    <x:xf numFmtId="200" fontId="4" fillId="10" borderId="17" xfId="0" applyNumberFormat="1" applyFont="1" applyFill="1" applyBorder="1" applyAlignment="1">
      <x:alignment vertical="top" wrapText="1"/>
    </x:xf>
    <x:xf numFmtId="200" fontId="4" fillId="10" borderId="18" xfId="0" applyNumberFormat="1" applyFont="1" applyFill="1" applyBorder="1" applyAlignment="1">
      <x:alignment vertical="top" wrapText="1"/>
    </x:xf>
    <x:xf numFmtId="200" fontId="4" fillId="10" borderId="19" xfId="0" applyNumberFormat="1" applyFont="1" applyFill="1" applyBorder="1" applyAlignment="1">
      <x:alignment vertical="top" wrapText="1"/>
    </x:xf>
    <x:xf numFmtId="200" fontId="4" fillId="10" borderId="20" xfId="0" applyNumberFormat="1" applyFont="1" applyFill="1" applyBorder="1" applyAlignment="1">
      <x:alignment vertical="top" wrapText="1"/>
    </x:xf>
    <x:xf numFmtId="200" fontId="4" fillId="10" borderId="21" xfId="0" applyNumberFormat="1" applyFont="1" applyFill="1" applyBorder="1" applyAlignment="1">
      <x:alignment vertical="top" wrapText="1"/>
    </x:xf>
    <x:xf numFmtId="200" fontId="4" fillId="10" borderId="16" xfId="0" applyNumberFormat="1" applyFont="1" applyFill="1" applyBorder="1" applyAlignment="1">
      <x:alignment horizontal="center" vertical="top" wrapText="1"/>
    </x:xf>
    <x:xf numFmtId="200" fontId="4" fillId="10" borderId="17" xfId="0" applyNumberFormat="1" applyFont="1" applyFill="1" applyBorder="1" applyAlignment="1">
      <x:alignment horizontal="center" vertical="top" wrapText="1"/>
    </x:xf>
    <x:xf numFmtId="200" fontId="4" fillId="10" borderId="18" xfId="0" applyNumberFormat="1" applyFont="1" applyFill="1" applyBorder="1" applyAlignment="1">
      <x:alignment horizontal="center" vertical="top" wrapText="1"/>
    </x:xf>
    <x:xf numFmtId="200" fontId="4" fillId="10" borderId="19" xfId="0" applyNumberFormat="1" applyFont="1" applyFill="1" applyBorder="1" applyAlignment="1">
      <x:alignment horizontal="center" vertical="top" wrapText="1"/>
    </x:xf>
    <x:xf numFmtId="200" fontId="4" fillId="10" borderId="20" xfId="0" applyNumberFormat="1" applyFont="1" applyFill="1" applyBorder="1" applyAlignment="1">
      <x:alignment horizontal="center" vertical="top" wrapText="1"/>
    </x:xf>
    <x:xf numFmtId="200" fontId="4" fillId="10" borderId="21" xfId="0" applyNumberFormat="1" applyFont="1" applyFill="1" applyBorder="1" applyAlignment="1">
      <x:alignment horizontal="center" vertical="top" wrapText="1"/>
    </x:xf>
    <x:xf numFmtId="200" fontId="4" fillId="10" borderId="16" xfId="0" applyNumberFormat="1" applyFont="1" applyFill="1" applyBorder="1" applyAlignment="1">
      <x:alignment horizontal="center" vertical="center" wrapText="1"/>
    </x:xf>
    <x:xf numFmtId="200" fontId="4" fillId="10" borderId="17" xfId="0" applyNumberFormat="1" applyFont="1" applyFill="1" applyBorder="1" applyAlignment="1">
      <x:alignment horizontal="center" vertical="center" wrapText="1"/>
    </x:xf>
    <x:xf numFmtId="200" fontId="4" fillId="10" borderId="18" xfId="0" applyNumberFormat="1" applyFont="1" applyFill="1" applyBorder="1" applyAlignment="1">
      <x:alignment horizontal="center" vertical="center" wrapText="1"/>
    </x:xf>
    <x:xf numFmtId="200" fontId="4" fillId="10" borderId="19" xfId="0" applyNumberFormat="1" applyFont="1" applyFill="1" applyBorder="1" applyAlignment="1">
      <x:alignment horizontal="center" vertical="center" wrapText="1"/>
    </x:xf>
    <x:xf numFmtId="200" fontId="4" fillId="10" borderId="20" xfId="0" applyNumberFormat="1" applyFont="1" applyFill="1" applyBorder="1" applyAlignment="1">
      <x:alignment horizontal="center" vertical="center" wrapText="1"/>
    </x:xf>
    <x:xf numFmtId="200" fontId="4" fillId="10" borderId="21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top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horizontal="center" vertical="top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vertical="top" wrapText="1"/>
    </x:xf>
    <x:xf numFmtId="0" fontId="8" fillId="2" borderId="2" xfId="0" applyNumberFormat="1" applyFont="1" applyFill="1" applyBorder="1" applyAlignment="1">
      <x:alignment vertical="top" wrapText="1"/>
    </x:xf>
    <x:xf numFmtId="0" fontId="8" fillId="2" borderId="2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vertical="top" wrapText="1"/>
    </x:xf>
    <x:xf numFmtId="0" fontId="8" fillId="2" borderId="3" xfId="0" applyNumberFormat="1" applyFont="1" applyFill="1" applyBorder="1" applyAlignment="1">
      <x:alignment vertical="top" wrapText="1"/>
    </x:xf>
    <x:xf numFmtId="0" fontId="8" fillId="2" borderId="3" xfId="0" applyNumberFormat="1" applyFont="1" applyFill="1" applyBorder="1" applyAlignment="1">
      <x:alignment vertical="center" wrapText="1"/>
    </x:xf>
    <x:xf numFmtId="200" fontId="8" fillId="2" borderId="2" xfId="0" applyNumberFormat="1" applyFont="1" applyFill="1" applyBorder="1" applyAlignment="1">
      <x:alignment vertical="center" wrapText="1"/>
    </x:xf>
    <x:xf numFmtId="200" fontId="8" fillId="2" borderId="3" xfId="0" applyNumberFormat="1" applyFont="1" applyFill="1" applyBorder="1" applyAlignment="1">
      <x:alignment vertical="center" wrapText="1"/>
    </x:xf>
    <x:xf numFmtId="200" fontId="8" fillId="2" borderId="2" xfId="0" applyNumberFormat="1" applyFont="1" applyFill="1" applyBorder="1" applyAlignment="1">
      <x:alignment horizontal="center" vertical="center" wrapText="1"/>
    </x:xf>
    <x:xf numFmtId="200" fontId="8" fillId="2" borderId="3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 applyAlignment="1">
      <x:alignment vertical="top" wrapText="1"/>
    </x:xf>
    <x:xf numFmtId="0" fontId="8" fillId="7" borderId="2" xfId="0" applyNumberFormat="1" applyFont="1" applyFill="1" applyBorder="1" applyAlignment="1">
      <x:alignment vertical="top" wrapText="1"/>
    </x:xf>
    <x:xf numFmtId="0" fontId="8" fillId="7" borderId="2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top" wrapText="1"/>
    </x:xf>
    <x:xf numFmtId="0" fontId="8" fillId="7" borderId="3" xfId="0" applyNumberFormat="1" applyFont="1" applyFill="1" applyBorder="1" applyAlignment="1">
      <x:alignment vertical="top" wrapText="1"/>
    </x:xf>
    <x:xf numFmtId="0" fontId="8" fillId="7" borderId="3" xfId="0" applyNumberFormat="1" applyFont="1" applyFill="1" applyBorder="1" applyAlignment="1">
      <x:alignment vertical="center" wrapText="1"/>
    </x:xf>
    <x:xf numFmtId="200" fontId="8" fillId="7" borderId="2" xfId="0" applyNumberFormat="1" applyFont="1" applyFill="1" applyBorder="1" applyAlignment="1">
      <x:alignment vertical="center" wrapText="1"/>
    </x:xf>
    <x:xf numFmtId="200" fontId="8" fillId="7" borderId="3" xfId="0" applyNumberFormat="1" applyFont="1" applyFill="1" applyBorder="1" applyAlignment="1">
      <x:alignment vertical="center" wrapText="1"/>
    </x:xf>
    <x:xf numFmtId="200" fontId="8" fillId="7" borderId="2" xfId="0" applyNumberFormat="1" applyFont="1" applyFill="1" applyBorder="1" applyAlignment="1">
      <x:alignment horizontal="center" vertical="center" wrapText="1"/>
    </x:xf>
    <x:xf numFmtId="200" fontId="8" fillId="7" borderId="3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center" wrapText="1"/>
    </x:xf>
    <x:xf numFmtId="200" fontId="4" fillId="4" borderId="2" xfId="0" applyNumberFormat="1" applyFont="1" applyFill="1" applyBorder="1" applyAlignment="1">
      <x:alignment vertical="center" wrapText="1"/>
    </x:xf>
    <x:xf numFmtId="200" fontId="4" fillId="4" borderId="3" xfId="0" applyNumberFormat="1" applyFont="1" applyFill="1" applyBorder="1" applyAlignment="1">
      <x:alignment vertical="center" wrapText="1"/>
    </x:xf>
    <x:xf numFmtId="200" fontId="4" fillId="4" borderId="2" xfId="0" applyNumberFormat="1" applyFont="1" applyFill="1" applyBorder="1" applyAlignment="1">
      <x:alignment horizontal="center" vertical="center" wrapText="1"/>
    </x:xf>
    <x:xf numFmtId="200" fontId="4" fillId="4" borderId="3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200" fontId="1" fillId="7" borderId="1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horizontal="center" vertical="center" wrapText="1"/>
    </x:xf>
    <x:xf numFmtId="200" fontId="1" fillId="7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1" fontId="1" fillId="7" borderId="0" xfId="0" applyNumberFormat="1" applyFont="1" applyFill="1" applyBorder="1" applyAlignment="1">
      <x:alignment vertical="center" wrapText="1"/>
    </x:xf>
    <x:xf numFmtId="201" fontId="1" fillId="7" borderId="0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3" fontId="1" fillId="7" borderId="0" xfId="0" applyNumberFormat="1" applyFont="1" applyFill="1" applyBorder="1" applyAlignment="1">
      <x:alignment vertical="center" wrapText="1"/>
    </x:xf>
    <x:xf numFmtId="203" fontId="1" fillId="7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 vertical="top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top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200" fontId="4" fillId="10" borderId="0" xfId="0" applyNumberFormat="1" applyFont="1" applyFill="1" applyBorder="1" applyAlignment="1">
      <x:alignment vertical="top" wrapText="1"/>
    </x:xf>
    <x:xf numFmtId="200" fontId="4" fillId="10" borderId="0" xfId="0" applyNumberFormat="1" applyFont="1" applyFill="1" applyBorder="1" applyAlignment="1">
      <x:alignment horizontal="center" vertical="top" wrapText="1"/>
    </x:xf>
    <x:xf numFmtId="200" fontId="4" fillId="10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horizontal="center" vertical="center" wrapText="1"/>
    </x:xf>
    <x:xf numFmtId="0" fontId="2" fillId="12" borderId="4" xfId="0" applyNumberFormat="1" applyFont="1" applyFill="1" applyBorder="1" applyAlignment="1">
      <x:alignment horizontal="center" vertical="center" wrapText="1"/>
    </x:xf>
    <x:xf numFmtId="0" fontId="2" fillId="12" borderId="5" xfId="0" applyNumberFormat="1" applyFont="1" applyFill="1" applyBorder="1" applyAlignment="1">
      <x:alignment horizontal="center" vertical="center" wrapText="1"/>
    </x:xf>
    <x:xf numFmtId="0" fontId="1" fillId="12" borderId="5" xfId="0" applyNumberFormat="1" applyFont="1" applyFill="1" applyBorder="1" applyAlignment="1">
      <x:alignment horizontal="center" vertical="center" wrapText="1"/>
    </x:xf>
    <x:xf numFmtId="0" fontId="1" fillId="12" borderId="6" xfId="0" applyNumberFormat="1" applyFont="1" applyFill="1" applyBorder="1" applyAlignment="1">
      <x:alignment horizontal="center" vertical="center" wrapText="1"/>
    </x:xf>
    <x:xf numFmtId="0" fontId="4" fillId="12" borderId="4" xfId="0" applyNumberFormat="1" applyFont="1" applyFill="1" applyBorder="1" applyAlignment="1">
      <x:alignment horizontal="center" vertical="center" wrapText="1"/>
    </x:xf>
    <x:xf numFmtId="0" fontId="4" fillId="12" borderId="5" xfId="0" applyNumberFormat="1" applyFont="1" applyFill="1" applyBorder="1" applyAlignment="1">
      <x:alignment horizontal="center" vertical="center" wrapText="1"/>
    </x:xf>
    <x:xf numFmtId="0" fontId="4" fillId="12" borderId="24" xfId="0" applyNumberFormat="1" applyFont="1" applyFill="1" applyBorder="1" applyAlignment="1">
      <x:alignment horizontal="center" vertical="center" wrapText="1"/>
    </x:xf>
    <x:xf numFmtId="0" fontId="4" fillId="12" borderId="25" xfId="0" applyNumberFormat="1" applyFont="1" applyFill="1" applyBorder="1" applyAlignment="1">
      <x:alignment horizontal="center" vertical="center" wrapText="1"/>
    </x:xf>
    <x:xf numFmtId="0" fontId="1" fillId="12" borderId="25" xfId="0" applyNumberFormat="1" applyFont="1" applyFill="1" applyBorder="1" applyAlignment="1">
      <x:alignment horizontal="center" vertical="center" wrapText="1"/>
    </x:xf>
    <x:xf numFmtId="0" fontId="1" fillId="12" borderId="26" xfId="0" applyNumberFormat="1" applyFont="1" applyFill="1" applyBorder="1" applyAlignment="1">
      <x:alignment horizontal="center" vertic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4" fillId="13" borderId="24" xfId="0" applyNumberFormat="1" applyFont="1" applyFill="1" applyBorder="1" applyAlignment="1">
      <x:alignment horizontal="center" vertical="center" wrapText="1"/>
    </x:xf>
    <x:xf numFmtId="0" fontId="4" fillId="13" borderId="25" xfId="0" applyNumberFormat="1" applyFont="1" applyFill="1" applyBorder="1" applyAlignment="1">
      <x:alignment horizontal="center" vertical="center" wrapText="1"/>
    </x:xf>
    <x:xf numFmtId="0" fontId="2" fillId="13" borderId="24" xfId="0" applyNumberFormat="1" applyFont="1" applyFill="1" applyBorder="1" applyAlignment="1">
      <x:alignment horizontal="center" vertical="center" wrapText="1"/>
    </x:xf>
    <x:xf numFmtId="0" fontId="2" fillId="13" borderId="25" xfId="0" applyNumberFormat="1" applyFont="1" applyFill="1" applyBorder="1" applyAlignment="1">
      <x:alignment horizontal="center" vertical="center" wrapText="1"/>
    </x:xf>
    <x:xf numFmtId="0" fontId="2" fillId="14" borderId="4" xfId="0" applyNumberFormat="1" applyFont="1" applyFill="1" applyBorder="1" applyAlignment="1">
      <x:alignment horizontal="center" vertical="center" wrapText="1"/>
    </x:xf>
    <x:xf numFmtId="0" fontId="2" fillId="14" borderId="5" xfId="0" applyNumberFormat="1" applyFont="1" applyFill="1" applyBorder="1" applyAlignment="1">
      <x:alignment horizontal="center" vertical="center" wrapText="1"/>
    </x:xf>
    <x:xf numFmtId="0" fontId="1" fillId="14" borderId="5" xfId="0" applyNumberFormat="1" applyFont="1" applyFill="1" applyBorder="1" applyAlignment="1">
      <x:alignment horizontal="center" vertical="center" wrapText="1"/>
    </x:xf>
    <x:xf numFmtId="0" fontId="1" fillId="14" borderId="6" xfId="0" applyNumberFormat="1" applyFont="1" applyFill="1" applyBorder="1" applyAlignment="1">
      <x:alignment horizontal="center" vertical="center" wrapText="1"/>
    </x:xf>
    <x:xf numFmtId="0" fontId="4" fillId="14" borderId="4" xfId="0" applyNumberFormat="1" applyFont="1" applyFill="1" applyBorder="1" applyAlignment="1">
      <x:alignment horizontal="center" vertical="center" wrapText="1"/>
    </x:xf>
    <x:xf numFmtId="0" fontId="4" fillId="14" borderId="5" xfId="0" applyNumberFormat="1" applyFont="1" applyFill="1" applyBorder="1" applyAlignment="1">
      <x:alignment horizontal="center" vertical="center" wrapText="1"/>
    </x:xf>
    <x:xf numFmtId="0" fontId="4" fillId="14" borderId="24" xfId="0" applyNumberFormat="1" applyFont="1" applyFill="1" applyBorder="1" applyAlignment="1">
      <x:alignment horizontal="center" vertical="center" wrapText="1"/>
    </x:xf>
    <x:xf numFmtId="0" fontId="4" fillId="14" borderId="25" xfId="0" applyNumberFormat="1" applyFont="1" applyFill="1" applyBorder="1" applyAlignment="1">
      <x:alignment horizontal="center" vertical="center" wrapText="1"/>
    </x:xf>
    <x:xf numFmtId="0" fontId="1" fillId="14" borderId="25" xfId="0" applyNumberFormat="1" applyFont="1" applyFill="1" applyBorder="1" applyAlignment="1">
      <x:alignment horizontal="center" vertical="center" wrapText="1"/>
    </x:xf>
    <x:xf numFmtId="0" fontId="1" fillId="14" borderId="26" xfId="0" applyNumberFormat="1" applyFont="1" applyFill="1" applyBorder="1" applyAlignment="1">
      <x:alignment horizontal="center" vertic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1" fillId="14" borderId="0" xfId="0" applyNumberFormat="1" applyFont="1" applyFill="1" applyBorder="1" applyAlignment="1">
      <x:alignment horizontal="center" vertical="center" wrapText="1"/>
    </x:xf>
    <x:xf numFmtId="0" fontId="4" fillId="1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abc077331c4d44" /><Relationship Type="http://schemas.openxmlformats.org/officeDocument/2006/relationships/theme" Target="/xl/theme/theme1.xml" Id="Rd771cdaa798c4c04" /><Relationship Type="http://schemas.openxmlformats.org/officeDocument/2006/relationships/sharedStrings" Target="/xl/sharedStrings.xml" Id="Rbf11cea3a0344d51" /><Relationship Type="http://schemas.openxmlformats.org/officeDocument/2006/relationships/worksheet" Target="/xl/worksheets/sheet1.xml" Id="R8e3223a6b6ff41b5" /><Relationship Type="http://schemas.openxmlformats.org/officeDocument/2006/relationships/worksheet" Target="/xl/worksheets/sheet2.xml" Id="Ra2dbe4cd7fba411b" /><Relationship Type="http://schemas.openxmlformats.org/officeDocument/2006/relationships/worksheet" Target="/xl/worksheets/sheet3.xml" Id="R632edf1a7ab94c27" /><Relationship Type="http://schemas.openxmlformats.org/officeDocument/2006/relationships/worksheet" Target="/xl/worksheets/sheet4.xml" Id="R994e8a07b0d84c20" /><Relationship Type="http://schemas.openxmlformats.org/officeDocument/2006/relationships/worksheet" Target="/xl/worksheets/sheet5.xml" Id="Rd612cbf28e654276" /><Relationship Type="http://schemas.openxmlformats.org/officeDocument/2006/relationships/worksheet" Target="/xl/worksheets/sheet6.xml" Id="R0bdf84ae37c049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.200000047683716" hidden="0" customWidth="1"/>
    <x:col min="2" max="2" width="24" hidden="0" customWidth="1"/>
    <x:col min="3" max="3" width="22" hidden="0" customWidth="1"/>
    <x:col min="4" max="4" width="3" hidden="0" customWidth="1"/>
    <x:col min="5" max="5" width="22" hidden="0" customWidth="1"/>
    <x:col min="6" max="6" width="3" hidden="0" customWidth="1"/>
    <x:col min="7" max="7" width="22" hidden="0" customWidth="1"/>
    <x:col min="8" max="8" width="3" hidden="0" customWidth="1"/>
    <x:col min="9" max="9" width="22" hidden="0" customWidth="1"/>
    <x:col min="10" max="10" width="2.200000047683716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</x:row>
    <x:row r="2" ht="32" customHeight="1">
      <x:c r="A2" s="5"/>
      <x:c r="B2" s="12" t="str">
        <x:v>One membership. Three workspaces.</x:v>
      </x:c>
      <x:c r="C2" s="12"/>
      <x:c r="D2" s="12"/>
      <x:c r="E2" s="12"/>
      <x:c r="F2" s="12"/>
      <x:c r="G2" s="12"/>
      <x:c r="H2" s="12"/>
      <x:c r="I2" s="12"/>
      <x:c r="J2" s="5"/>
    </x:row>
    <x:row r="3" ht="24" customHeight="1">
      <x:c r="A3" s="5"/>
      <x:c r="B3" s="18" t="str">
        <x:v>Use the service you need, then follow its guided lifecycle.</x:v>
      </x:c>
      <x:c r="C3" s="18"/>
      <x:c r="D3" s="18"/>
      <x:c r="E3" s="18"/>
      <x:c r="F3" s="18"/>
      <x:c r="G3" s="18"/>
      <x:c r="H3" s="18"/>
      <x:c r="I3" s="18"/>
      <x:c r="J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</x:row>
    <x:row r="5" ht="31" customHeight="1">
      <x:c r="A5" s="5"/>
      <x:c r="B5" s="67" t="str">
        <x:v>SELECT or PREMIER is your membership. PERSONAL, HOUSEHOLD and SELLER are workspaces. GET PAID, PAY &amp; SPEND, SHARE &amp; CONTROL and HELP &amp; RESOLVE are services.</x:v>
      </x:c>
      <x:c r="C5" s="67"/>
      <x:c r="D5" s="67"/>
      <x:c r="E5" s="67"/>
      <x:c r="F5" s="67"/>
      <x:c r="G5" s="67"/>
      <x:c r="H5" s="67"/>
      <x:c r="I5" s="67"/>
      <x:c r="J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</x:row>
    <x:row r="7" ht="24" customHeight="1">
      <x:c r="A7" s="5"/>
      <x:c r="B7" s="24" t="str">
        <x:v>How everything fits together</x:v>
      </x:c>
      <x:c r="C7" s="24"/>
      <x:c r="D7" s="24"/>
      <x:c r="E7" s="24"/>
      <x:c r="F7" s="24"/>
      <x:c r="G7" s="24"/>
      <x:c r="H7" s="24"/>
      <x:c r="I7" s="24"/>
      <x:c r="J7" s="5"/>
    </x:row>
    <x:row r="8" ht="48" customHeight="1">
      <x:c r="A8" s="5"/>
      <x:c r="B8" s="551" t="str">
        <x:v>1  MEMBERSHIP</x:v>
      </x:c>
      <x:c r="C8" s="552"/>
      <x:c r="D8" s="544" t="str">
        <x:v>SELECT or PREMIER</x:v>
      </x:c>
      <x:c r="E8" s="544"/>
      <x:c r="F8" s="544"/>
      <x:c r="G8" s="544" t="str">
        <x:v>Sets membership price, rewards and support</x:v>
      </x:c>
      <x:c r="H8" s="544"/>
      <x:c r="I8" s="545"/>
      <x:c r="J8" s="5"/>
    </x:row>
    <x:row r="9" ht="48" customHeight="1">
      <x:c r="A9" s="5"/>
      <x:c r="B9" s="551" t="str">
        <x:v>2  WORKSPACE</x:v>
      </x:c>
      <x:c r="C9" s="552"/>
      <x:c r="D9" s="561" t="str">
        <x:v>PERSONAL • HOUSEHOLD • SELLER</x:v>
      </x:c>
      <x:c r="E9" s="561"/>
      <x:c r="F9" s="561"/>
      <x:c r="G9" s="561" t="str">
        <x:v>Sets ownership, permissions and records</x:v>
      </x:c>
      <x:c r="H9" s="561"/>
      <x:c r="I9" s="562"/>
      <x:c r="J9" s="5"/>
    </x:row>
    <x:row r="10" ht="48" customHeight="1">
      <x:c r="A10" s="5"/>
      <x:c r="B10" s="551" t="str">
        <x:v>3  SERVICE</x:v>
      </x:c>
      <x:c r="C10" s="552"/>
      <x:c r="D10" s="544" t="str">
        <x:v>GET PAID • PAY &amp; SPEND</x:v>
      </x:c>
      <x:c r="E10" s="544"/>
      <x:c r="F10" s="544"/>
      <x:c r="G10" s="544" t="str">
        <x:v>SHARE &amp; CONTROL • HELP &amp; RESOLVE</x:v>
      </x:c>
      <x:c r="H10" s="544"/>
      <x:c r="I10" s="545"/>
      <x:c r="J10" s="5"/>
    </x:row>
    <x:row r="11" ht="48" customHeight="1">
      <x:c r="A11" s="5"/>
      <x:c r="B11" s="551" t="str">
        <x:v>4  LIFECYCLE</x:v>
      </x:c>
      <x:c r="C11" s="552"/>
      <x:c r="D11" s="561" t="str">
        <x:v>JOIN • VERIFY • ACTIVATE</x:v>
      </x:c>
      <x:c r="E11" s="561"/>
      <x:c r="F11" s="561"/>
      <x:c r="G11" s="561" t="str">
        <x:v>USE • MANAGE • RENEW</x:v>
      </x:c>
      <x:c r="H11" s="561"/>
      <x:c r="I11" s="562"/>
      <x:c r="J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</x:row>
    <x:row r="14" ht="24" customHeight="1">
      <x:c r="A14" s="5"/>
      <x:c r="B14" s="24" t="str">
        <x:v>What do you want to do?</x:v>
      </x:c>
      <x:c r="C14" s="24"/>
      <x:c r="D14" s="24"/>
      <x:c r="E14" s="24"/>
      <x:c r="F14" s="24"/>
      <x:c r="G14" s="24"/>
      <x:c r="H14" s="24"/>
      <x:c r="I14" s="24"/>
      <x:c r="J14" s="5"/>
    </x:row>
    <x:row r="15" ht="22" customHeight="1">
      <x:c r="A15" s="5"/>
      <x:c r="B15" s="131" t="str">
        <x:v>GET PAID
Sell once with Quick Sell, help a named household member sell, or run full Seller payment acceptance.</x:v>
      </x:c>
      <x:c r="C15" s="132"/>
      <x:c r="D15" s="131" t="str">
        <x:v>PAY &amp; SPEND
Use your own approved spending access, share controlled household access, or manage commercial spending.</x:v>
      </x:c>
      <x:c r="E15" s="132"/>
      <x:c r="F15" s="168" t="str">
        <x:v>SHARE &amp; CONTROL
Invite trusted people, set permissions, limits and visibility, and keep responsibilities clear.</x:v>
      </x:c>
      <x:c r="G15" s="169"/>
      <x:c r="H15" s="168" t="str">
        <x:v>HELP &amp; RESOLVE
Track applications, payouts, refunds, disputes, account questions and other requests through resolution.</x:v>
      </x:c>
      <x:c r="I15" s="169"/>
      <x:c r="J15" s="5"/>
    </x:row>
    <x:row r="16" ht="22" customHeight="1">
      <x:c r="A16" s="5"/>
      <x:c r="B16" s="133"/>
      <x:c r="C16" s="134"/>
      <x:c r="D16" s="133"/>
      <x:c r="E16" s="134"/>
      <x:c r="F16" s="170"/>
      <x:c r="G16" s="171"/>
      <x:c r="H16" s="170"/>
      <x:c r="I16" s="171"/>
      <x:c r="J16" s="5"/>
    </x:row>
    <x:row r="17" ht="22" customHeight="1">
      <x:c r="A17" s="5"/>
      <x:c r="B17" s="133"/>
      <x:c r="C17" s="134"/>
      <x:c r="D17" s="133"/>
      <x:c r="E17" s="134"/>
      <x:c r="F17" s="170"/>
      <x:c r="G17" s="171"/>
      <x:c r="H17" s="170"/>
      <x:c r="I17" s="171"/>
      <x:c r="J17" s="5"/>
    </x:row>
    <x:row r="18" ht="22" customHeight="1">
      <x:c r="A18" s="5"/>
      <x:c r="B18" s="133"/>
      <x:c r="C18" s="134"/>
      <x:c r="D18" s="133"/>
      <x:c r="E18" s="134"/>
      <x:c r="F18" s="170"/>
      <x:c r="G18" s="171"/>
      <x:c r="H18" s="170"/>
      <x:c r="I18" s="171"/>
      <x:c r="J18" s="5"/>
    </x:row>
    <x:row r="19" ht="22" customHeight="1">
      <x:c r="A19" s="5"/>
      <x:c r="B19" s="133"/>
      <x:c r="C19" s="134"/>
      <x:c r="D19" s="133"/>
      <x:c r="E19" s="134"/>
      <x:c r="F19" s="170"/>
      <x:c r="G19" s="171"/>
      <x:c r="H19" s="170"/>
      <x:c r="I19" s="171"/>
      <x:c r="J19" s="5"/>
    </x:row>
    <x:row r="20" ht="22" customHeight="1">
      <x:c r="A20" s="5"/>
      <x:c r="B20" s="135"/>
      <x:c r="C20" s="136"/>
      <x:c r="D20" s="135"/>
      <x:c r="E20" s="136"/>
      <x:c r="F20" s="172"/>
      <x:c r="G20" s="173"/>
      <x:c r="H20" s="172"/>
      <x:c r="I20" s="173"/>
      <x:c r="J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</x:row>
    <x:row r="23" ht="24" customHeight="1">
      <x:c r="A23" s="5"/>
      <x:c r="B23" s="24" t="str">
        <x:v>Your lifecycle</x:v>
      </x:c>
      <x:c r="C23" s="24"/>
      <x:c r="D23" s="24"/>
      <x:c r="E23" s="24"/>
      <x:c r="F23" s="24"/>
      <x:c r="G23" s="24"/>
      <x:c r="H23" s="24"/>
      <x:c r="I23" s="24"/>
      <x:c r="J23" s="5"/>
    </x:row>
    <x:row r="24" ht="21" customHeight="1">
      <x:c r="A24" s="5"/>
      <x:c r="B24" s="209" t="str">
        <x:v>JOIN
Choose Select or Premier.</x:v>
      </x:c>
      <x:c r="C24" s="210"/>
      <x:c r="D24" s="210"/>
      <x:c r="E24" s="211"/>
      <x:c r="F24" s="260" t="str">
        <x:v>VERIFY
Confirm identity and the activities you want to use.</x:v>
      </x:c>
      <x:c r="G24" s="261"/>
      <x:c r="H24" s="261"/>
      <x:c r="I24" s="262"/>
      <x:c r="J24" s="5"/>
    </x:row>
    <x:row r="25" ht="21" customHeight="1">
      <x:c r="A25" s="5"/>
      <x:c r="B25" s="212"/>
      <x:c r="C25" s="213"/>
      <x:c r="D25" s="213"/>
      <x:c r="E25" s="214"/>
      <x:c r="F25" s="263"/>
      <x:c r="G25" s="264"/>
      <x:c r="H25" s="264"/>
      <x:c r="I25" s="265"/>
      <x:c r="J25" s="5"/>
    </x:row>
    <x:row r="26" ht="21" customHeight="1">
      <x:c r="A26" s="5"/>
      <x:c r="B26" s="212"/>
      <x:c r="C26" s="213"/>
      <x:c r="D26" s="213"/>
      <x:c r="E26" s="214"/>
      <x:c r="F26" s="263"/>
      <x:c r="G26" s="264"/>
      <x:c r="H26" s="264"/>
      <x:c r="I26" s="265"/>
      <x:c r="J26" s="5"/>
    </x:row>
    <x:row r="27" ht="21" customHeight="1">
      <x:c r="A27" s="5"/>
      <x:c r="B27" s="215"/>
      <x:c r="C27" s="216"/>
      <x:c r="D27" s="216"/>
      <x:c r="E27" s="217"/>
      <x:c r="F27" s="266"/>
      <x:c r="G27" s="267"/>
      <x:c r="H27" s="267"/>
      <x:c r="I27" s="268"/>
      <x:c r="J27" s="5"/>
    </x:row>
    <x:row r="28" ht="21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</x:row>
    <x:row r="29" ht="21" customHeight="1">
      <x:c r="A29" s="5"/>
      <x:c r="B29" s="209" t="str">
        <x:v>ACTIVATE
Turn on a workspace or service after approval.</x:v>
      </x:c>
      <x:c r="C29" s="210"/>
      <x:c r="D29" s="210"/>
      <x:c r="E29" s="211"/>
      <x:c r="F29" s="260" t="str">
        <x:v>USE
Get paid, pay, spend, share and track records.</x:v>
      </x:c>
      <x:c r="G29" s="261"/>
      <x:c r="H29" s="261"/>
      <x:c r="I29" s="262"/>
      <x:c r="J29" s="5"/>
    </x:row>
    <x:row r="30" ht="21" customHeight="1">
      <x:c r="A30" s="5"/>
      <x:c r="B30" s="212"/>
      <x:c r="C30" s="213"/>
      <x:c r="D30" s="213"/>
      <x:c r="E30" s="214"/>
      <x:c r="F30" s="263"/>
      <x:c r="G30" s="264"/>
      <x:c r="H30" s="264"/>
      <x:c r="I30" s="265"/>
      <x:c r="J30" s="5"/>
    </x:row>
    <x:row r="31" ht="21" customHeight="1">
      <x:c r="A31" s="5"/>
      <x:c r="B31" s="212"/>
      <x:c r="C31" s="213"/>
      <x:c r="D31" s="213"/>
      <x:c r="E31" s="214"/>
      <x:c r="F31" s="263"/>
      <x:c r="G31" s="264"/>
      <x:c r="H31" s="264"/>
      <x:c r="I31" s="265"/>
      <x:c r="J31" s="5"/>
    </x:row>
    <x:row r="32" ht="21" customHeight="1">
      <x:c r="A32" s="5"/>
      <x:c r="B32" s="215"/>
      <x:c r="C32" s="216"/>
      <x:c r="D32" s="216"/>
      <x:c r="E32" s="217"/>
      <x:c r="F32" s="266"/>
      <x:c r="G32" s="267"/>
      <x:c r="H32" s="267"/>
      <x:c r="I32" s="268"/>
      <x:c r="J32" s="5"/>
    </x:row>
    <x:row r="33" ht="21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</x:row>
    <x:row r="34" ht="21" customHeight="1">
      <x:c r="A34" s="5"/>
      <x:c r="B34" s="209" t="str">
        <x:v>MANAGE
Change permissions, resolve issues and view value.</x:v>
      </x:c>
      <x:c r="C34" s="210"/>
      <x:c r="D34" s="210"/>
      <x:c r="E34" s="211"/>
      <x:c r="F34" s="260" t="str">
        <x:v>RENEW
Review your plan and continue, upgrade or cancel.</x:v>
      </x:c>
      <x:c r="G34" s="261"/>
      <x:c r="H34" s="261"/>
      <x:c r="I34" s="262"/>
      <x:c r="J34" s="5"/>
    </x:row>
    <x:row r="35" ht="21" customHeight="1">
      <x:c r="A35" s="5"/>
      <x:c r="B35" s="212"/>
      <x:c r="C35" s="213"/>
      <x:c r="D35" s="213"/>
      <x:c r="E35" s="214"/>
      <x:c r="F35" s="263"/>
      <x:c r="G35" s="264"/>
      <x:c r="H35" s="264"/>
      <x:c r="I35" s="265"/>
      <x:c r="J35" s="5"/>
    </x:row>
    <x:row r="36" ht="21" customHeight="1">
      <x:c r="A36" s="5"/>
      <x:c r="B36" s="212"/>
      <x:c r="C36" s="213"/>
      <x:c r="D36" s="213"/>
      <x:c r="E36" s="214"/>
      <x:c r="F36" s="263"/>
      <x:c r="G36" s="264"/>
      <x:c r="H36" s="264"/>
      <x:c r="I36" s="265"/>
      <x:c r="J36" s="5"/>
    </x:row>
    <x:row r="37" ht="21" customHeight="1">
      <x:c r="A37" s="5"/>
      <x:c r="B37" s="215"/>
      <x:c r="C37" s="216"/>
      <x:c r="D37" s="216"/>
      <x:c r="E37" s="217"/>
      <x:c r="F37" s="266"/>
      <x:c r="G37" s="267"/>
      <x:c r="H37" s="267"/>
      <x:c r="I37" s="268"/>
      <x:c r="J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</x:row>
    <x:row r="40" ht="31" customHeight="1">
      <x:c r="A40" s="5"/>
      <x:c r="B40" s="294" t="str">
        <x:v>Open Memberships to compare plans, What you can do to compare services, Your lifecycle to see status stages, and Value calculator to enter your own activity.</x:v>
      </x:c>
      <x:c r="C40" s="294"/>
      <x:c r="D40" s="294"/>
      <x:c r="E40" s="294"/>
      <x:c r="F40" s="294"/>
      <x:c r="G40" s="294"/>
      <x:c r="H40" s="294"/>
      <x:c r="I40" s="294"/>
      <x:c r="J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</x:row>
  </x:sheetData>
  <x:mergeCells>
    <x:mergeCell ref="B2:I2"/>
    <x:mergeCell ref="B3:I3"/>
    <x:mergeCell ref="B5:I5"/>
    <x:mergeCell ref="B7:I7"/>
    <x:mergeCell ref="B14:I14"/>
    <x:mergeCell ref="B15:C20"/>
    <x:mergeCell ref="D15:E20"/>
    <x:mergeCell ref="F15:G20"/>
    <x:mergeCell ref="H15:I20"/>
    <x:mergeCell ref="B23:I23"/>
    <x:mergeCell ref="B24:E27"/>
    <x:mergeCell ref="F24:I27"/>
    <x:mergeCell ref="B29:E32"/>
    <x:mergeCell ref="F29:I32"/>
    <x:mergeCell ref="B34:E37"/>
    <x:mergeCell ref="F34:I37"/>
    <x:mergeCell ref="B40:I40"/>
    <x:mergeCell ref="B8:C8"/>
    <x:mergeCell ref="D8:F8"/>
    <x:mergeCell ref="G8:I8"/>
    <x:mergeCell ref="B9:C9"/>
    <x:mergeCell ref="D9:F9"/>
    <x:mergeCell ref="G9:I9"/>
    <x:mergeCell ref="B10:C10"/>
    <x:mergeCell ref="D10:F10"/>
    <x:mergeCell ref="G10:I10"/>
    <x:mergeCell ref="B11:C11"/>
    <x:mergeCell ref="D11:F11"/>
    <x:mergeCell ref="G11:I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.200000047683716" hidden="0" customWidth="1"/>
    <x:col min="2" max="2" width="24" hidden="0" customWidth="1"/>
    <x:col min="3" max="3" width="22" hidden="0" customWidth="1"/>
    <x:col min="4" max="4" width="3" hidden="0" customWidth="1"/>
    <x:col min="5" max="5" width="22" hidden="0" customWidth="1"/>
    <x:col min="6" max="6" width="3" hidden="0" customWidth="1"/>
    <x:col min="7" max="7" width="22" hidden="0" customWidth="1"/>
    <x:col min="8" max="8" width="3" hidden="0" customWidth="1"/>
    <x:col min="9" max="9" width="22" hidden="0" customWidth="1"/>
    <x:col min="10" max="10" width="2.200000047683716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</x:row>
    <x:row r="2" ht="32" customHeight="1">
      <x:c r="A2" s="5"/>
      <x:c r="B2" s="12" t="str">
        <x:v>Select or Premier</x:v>
      </x:c>
      <x:c r="C2" s="12"/>
      <x:c r="D2" s="12"/>
      <x:c r="E2" s="12"/>
      <x:c r="F2" s="12"/>
      <x:c r="G2" s="12"/>
      <x:c r="H2" s="12"/>
      <x:c r="I2" s="12"/>
      <x:c r="J2" s="5"/>
    </x:row>
    <x:row r="3" ht="24" customHeight="1">
      <x:c r="A3" s="5"/>
      <x:c r="B3" s="18" t="str">
        <x:v>Both include the complete platform. Premier changes economics and support—not product access.</x:v>
      </x:c>
      <x:c r="C3" s="18"/>
      <x:c r="D3" s="18"/>
      <x:c r="E3" s="18"/>
      <x:c r="F3" s="18"/>
      <x:c r="G3" s="18"/>
      <x:c r="H3" s="18"/>
      <x:c r="I3" s="18"/>
      <x:c r="J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A5" s="5"/>
      <x:c r="B5" s="5"/>
      <x:c r="C5" s="5"/>
      <x:c r="D5" s="5"/>
      <x:c r="E5" s="5"/>
      <x:c r="F5" s="5"/>
      <x:c r="G5" s="5"/>
      <x:c r="H5" s="5"/>
      <x:c r="I5" s="5"/>
      <x:c r="J5" s="5"/>
    </x:row>
    <x:row r="6" ht="25" customHeight="1">
      <x:c r="A6" s="5"/>
      <x:c r="B6" s="31" t="str">
        <x:v>WHAT YOU GET</x:v>
      </x:c>
      <x:c r="C6" s="31"/>
      <x:c r="D6" s="31"/>
      <x:c r="E6" s="31"/>
      <x:c r="F6" s="31" t="str">
        <x:v>SELECT</x:v>
      </x:c>
      <x:c r="G6" s="31"/>
      <x:c r="H6" s="31"/>
      <x:c r="I6" s="31" t="str">
        <x:v>PREMIER</x:v>
      </x:c>
      <x:c r="J6" s="5"/>
    </x:row>
    <x:row r="7" ht="22" customHeight="1">
      <x:c r="A7" s="5"/>
      <x:c r="B7" s="297" t="str">
        <x:v>Membership</x:v>
      </x:c>
      <x:c r="C7" s="297"/>
      <x:c r="D7" s="297"/>
      <x:c r="E7" s="297"/>
      <x:c r="F7" s="297"/>
      <x:c r="G7" s="297"/>
      <x:c r="H7" s="297"/>
      <x:c r="I7" s="297"/>
      <x:c r="J7" s="5"/>
    </x:row>
    <x:row r="8" ht="28" customHeight="1">
      <x:c r="A8" s="5"/>
      <x:c r="B8" s="37" t="str">
        <x:v>Annual membership</x:v>
      </x:c>
      <x:c r="C8" s="37"/>
      <x:c r="D8" s="37"/>
      <x:c r="E8" s="37"/>
      <x:c r="F8" s="267" t="str">
        <x:v>$120</x:v>
      </x:c>
      <x:c r="G8" s="267"/>
      <x:c r="H8" s="267" t="str">
        <x:v>$300</x:v>
      </x:c>
      <x:c r="I8" s="267"/>
      <x:c r="J8" s="5"/>
    </x:row>
    <x:row r="9" ht="28" customHeight="1">
      <x:c r="A9" s="5"/>
      <x:c r="B9" s="46" t="str">
        <x:v>Personal, Household and Seller</x:v>
      </x:c>
      <x:c r="C9" s="46"/>
      <x:c r="D9" s="46"/>
      <x:c r="E9" s="46"/>
      <x:c r="F9" s="300" t="str">
        <x:v>Included</x:v>
      </x:c>
      <x:c r="G9" s="300"/>
      <x:c r="H9" s="300" t="str">
        <x:v>Included</x:v>
      </x:c>
      <x:c r="I9" s="300"/>
      <x:c r="J9" s="5"/>
    </x:row>
    <x:row r="10" ht="28" customHeight="1">
      <x:c r="A10" s="5"/>
      <x:c r="B10" s="37" t="str">
        <x:v>Support</x:v>
      </x:c>
      <x:c r="C10" s="37"/>
      <x:c r="D10" s="37"/>
      <x:c r="E10" s="37"/>
      <x:c r="F10" s="267" t="str">
        <x:v>Member support</x:v>
      </x:c>
      <x:c r="G10" s="267"/>
      <x:c r="H10" s="267" t="str">
        <x:v>Priority support</x:v>
      </x:c>
      <x:c r="I10" s="267"/>
      <x:c r="J10" s="5"/>
    </x:row>
    <x:row r="11" ht="28" customHeight="1">
      <x:c r="A11" s="5"/>
      <x:c r="B11" s="46" t="str">
        <x:v>Initial membership refund window</x:v>
      </x:c>
      <x:c r="C11" s="46"/>
      <x:c r="D11" s="46"/>
      <x:c r="E11" s="46"/>
      <x:c r="F11" s="300" t="str">
        <x:v>60 days</x:v>
      </x:c>
      <x:c r="G11" s="300"/>
      <x:c r="H11" s="300" t="str">
        <x:v>60 days</x:v>
      </x:c>
      <x:c r="I11" s="300"/>
      <x:c r="J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</x:row>
    <x:row r="13" ht="22" customHeight="1">
      <x:c r="A13" s="5"/>
      <x:c r="B13" s="297" t="str">
        <x:v>Get paid</x:v>
      </x:c>
      <x:c r="C13" s="297"/>
      <x:c r="D13" s="297"/>
      <x:c r="E13" s="297"/>
      <x:c r="F13" s="297"/>
      <x:c r="G13" s="297"/>
      <x:c r="H13" s="297"/>
      <x:c r="I13" s="297"/>
      <x:c r="J13" s="5"/>
    </x:row>
    <x:row r="14" ht="28" customHeight="1">
      <x:c r="A14" s="5"/>
      <x:c r="B14" s="37" t="str">
        <x:v>Quick Sell</x:v>
      </x:c>
      <x:c r="C14" s="37"/>
      <x:c r="D14" s="37"/>
      <x:c r="E14" s="37"/>
      <x:c r="F14" s="267" t="str">
        <x:v>Included after approval</x:v>
      </x:c>
      <x:c r="G14" s="267"/>
      <x:c r="H14" s="267" t="str">
        <x:v>Included after approval</x:v>
      </x:c>
      <x:c r="I14" s="267"/>
      <x:c r="J14" s="5"/>
    </x:row>
    <x:row r="15" ht="28" customHeight="1">
      <x:c r="A15" s="5"/>
      <x:c r="B15" s="46" t="str">
        <x:v>Full Seller tools</x:v>
      </x:c>
      <x:c r="C15" s="46"/>
      <x:c r="D15" s="46"/>
      <x:c r="E15" s="46"/>
      <x:c r="F15" s="300" t="str">
        <x:v>Included after Seller approval</x:v>
      </x:c>
      <x:c r="G15" s="300"/>
      <x:c r="H15" s="300" t="str">
        <x:v>Included after Seller approval</x:v>
      </x:c>
      <x:c r="I15" s="300"/>
      <x:c r="J15" s="5"/>
    </x:row>
    <x:row r="16" ht="28" customHeight="1">
      <x:c r="A16" s="5"/>
      <x:c r="B16" s="37" t="str">
        <x:v>Domestic online card processing</x:v>
      </x:c>
      <x:c r="C16" s="37"/>
      <x:c r="D16" s="37"/>
      <x:c r="E16" s="37"/>
      <x:c r="F16" s="267" t="str">
        <x:v>2.90% + $0.30</x:v>
      </x:c>
      <x:c r="G16" s="267"/>
      <x:c r="H16" s="267" t="str">
        <x:v>Card-brand costs + 0.50% + $0.30</x:v>
      </x:c>
      <x:c r="I16" s="267"/>
      <x:c r="J16" s="5"/>
    </x:row>
    <x:row r="17" ht="28" customHeight="1">
      <x:c r="A17" s="5"/>
      <x:c r="B17" s="46" t="str">
        <x:v>Payment links, invoices and reconciliation</x:v>
      </x:c>
      <x:c r="C17" s="46"/>
      <x:c r="D17" s="46"/>
      <x:c r="E17" s="46"/>
      <x:c r="F17" s="300" t="str">
        <x:v>Included</x:v>
      </x:c>
      <x:c r="G17" s="300"/>
      <x:c r="H17" s="300" t="str">
        <x:v>Included</x:v>
      </x:c>
      <x:c r="I17" s="300"/>
      <x:c r="J17" s="5"/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  <x:c r="J18" s="5"/>
    </x:row>
    <x:row r="19" ht="22" customHeight="1">
      <x:c r="A19" s="5"/>
      <x:c r="B19" s="297" t="str">
        <x:v>Pay &amp; spend</x:v>
      </x:c>
      <x:c r="C19" s="297"/>
      <x:c r="D19" s="297"/>
      <x:c r="E19" s="297"/>
      <x:c r="F19" s="297"/>
      <x:c r="G19" s="297"/>
      <x:c r="H19" s="297"/>
      <x:c r="I19" s="297"/>
      <x:c r="J19" s="5"/>
    </x:row>
    <x:row r="20" ht="28" customHeight="1">
      <x:c r="A20" s="5"/>
      <x:c r="B20" s="37" t="str">
        <x:v>Personal spending access</x:v>
      </x:c>
      <x:c r="C20" s="37"/>
      <x:c r="D20" s="37"/>
      <x:c r="E20" s="37"/>
      <x:c r="F20" s="267" t="str">
        <x:v>Available after approval</x:v>
      </x:c>
      <x:c r="G20" s="267"/>
      <x:c r="H20" s="267" t="str">
        <x:v>Available after approval</x:v>
      </x:c>
      <x:c r="I20" s="267"/>
      <x:c r="J20" s="5"/>
    </x:row>
    <x:row r="21" ht="28" customHeight="1">
      <x:c r="A21" s="5"/>
      <x:c r="B21" s="46" t="str">
        <x:v>Household shared or supervised access</x:v>
      </x:c>
      <x:c r="C21" s="46"/>
      <x:c r="D21" s="46"/>
      <x:c r="E21" s="46"/>
      <x:c r="F21" s="300" t="str">
        <x:v>Included under approved accounts</x:v>
      </x:c>
      <x:c r="G21" s="300"/>
      <x:c r="H21" s="300" t="str">
        <x:v>Included under approved accounts</x:v>
      </x:c>
      <x:c r="I21" s="300"/>
      <x:c r="J21" s="5"/>
    </x:row>
    <x:row r="22" ht="28" customHeight="1">
      <x:c r="A22" s="5"/>
      <x:c r="B22" s="37" t="str">
        <x:v>Seller commercial spending access</x:v>
      </x:c>
      <x:c r="C22" s="37"/>
      <x:c r="D22" s="37"/>
      <x:c r="E22" s="37"/>
      <x:c r="F22" s="267" t="str">
        <x:v>Available after Seller approval</x:v>
      </x:c>
      <x:c r="G22" s="267"/>
      <x:c r="H22" s="267" t="str">
        <x:v>Available after Seller approval</x:v>
      </x:c>
      <x:c r="I22" s="267"/>
      <x:c r="J22" s="5"/>
    </x:row>
    <x:row r="23" ht="28" customHeight="1">
      <x:c r="A23" s="5"/>
      <x:c r="B23" s="46" t="str">
        <x:v>Everyday cashback</x:v>
      </x:c>
      <x:c r="C23" s="46"/>
      <x:c r="D23" s="46"/>
      <x:c r="E23" s="46"/>
      <x:c r="F23" s="300" t="str">
        <x:v>0.50%</x:v>
      </x:c>
      <x:c r="G23" s="300"/>
      <x:c r="H23" s="300" t="str">
        <x:v>0.50%</x:v>
      </x:c>
      <x:c r="I23" s="300"/>
      <x:c r="J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</x:row>
    <x:row r="25" ht="22" customHeight="1">
      <x:c r="A25" s="5"/>
      <x:c r="B25" s="297" t="str">
        <x:v>Premier value</x:v>
      </x:c>
      <x:c r="C25" s="297"/>
      <x:c r="D25" s="297"/>
      <x:c r="E25" s="297"/>
      <x:c r="F25" s="297"/>
      <x:c r="G25" s="297"/>
      <x:c r="H25" s="297"/>
      <x:c r="I25" s="297"/>
      <x:c r="J25" s="5"/>
    </x:row>
    <x:row r="26" ht="28" customHeight="1">
      <x:c r="A26" s="5"/>
      <x:c r="B26" s="37" t="str">
        <x:v>Extra spending bonus</x:v>
      </x:c>
      <x:c r="C26" s="37"/>
      <x:c r="D26" s="37"/>
      <x:c r="E26" s="37"/>
      <x:c r="F26" s="267" t="str">
        <x:v>—</x:v>
      </x:c>
      <x:c r="G26" s="267"/>
      <x:c r="H26" s="267" t="str">
        <x:v>Additional 0.50%</x:v>
      </x:c>
      <x:c r="I26" s="267"/>
      <x:c r="J26" s="5"/>
    </x:row>
    <x:row r="27" ht="28" customHeight="1">
      <x:c r="A27" s="5"/>
      <x:c r="B27" s="46" t="str">
        <x:v>Bonus on eligible provider fees</x:v>
      </x:c>
      <x:c r="C27" s="46"/>
      <x:c r="D27" s="46"/>
      <x:c r="E27" s="46"/>
      <x:c r="F27" s="300" t="str">
        <x:v>—</x:v>
      </x:c>
      <x:c r="G27" s="300"/>
      <x:c r="H27" s="300" t="str">
        <x:v>20%</x:v>
      </x:c>
      <x:c r="I27" s="300"/>
      <x:c r="J27" s="5"/>
    </x:row>
    <x:row r="28" ht="28" customHeight="1">
      <x:c r="A28" s="5"/>
      <x:c r="B28" s="37" t="str">
        <x:v>Shared yearly extra-bonus limit</x:v>
      </x:c>
      <x:c r="C28" s="37"/>
      <x:c r="D28" s="37"/>
      <x:c r="E28" s="37"/>
      <x:c r="F28" s="267" t="str">
        <x:v>—</x:v>
      </x:c>
      <x:c r="G28" s="267"/>
      <x:c r="H28" s="267" t="str">
        <x:v>$300</x:v>
      </x:c>
      <x:c r="I28" s="267"/>
      <x:c r="J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</x:row>
    <x:row r="31" ht="31" customHeight="1">
      <x:c r="A31" s="5"/>
      <x:c r="B31" s="71" t="str">
        <x:v>Premier's two extra bonuses share one $300 yearly limit. Everyday cashback is outside that limit.</x:v>
      </x:c>
      <x:c r="C31" s="71"/>
      <x:c r="D31" s="71"/>
      <x:c r="E31" s="71"/>
      <x:c r="F31" s="71"/>
      <x:c r="G31" s="71"/>
      <x:c r="H31" s="71"/>
      <x:c r="I31" s="71"/>
      <x:c r="J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</x:row>
    <x:row r="33" ht="31" customHeight="1">
      <x:c r="A33" s="5"/>
      <x:c r="B33" s="67" t="str">
        <x:v>Membership does not guarantee Seller acceptance or spending-account approval. Customers paying a member Seller do not need membership.</x:v>
      </x:c>
      <x:c r="C33" s="67"/>
      <x:c r="D33" s="67"/>
      <x:c r="E33" s="67"/>
      <x:c r="F33" s="67"/>
      <x:c r="G33" s="67"/>
      <x:c r="H33" s="67"/>
      <x:c r="I33" s="67"/>
      <x:c r="J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</x:row>
  </x:sheetData>
  <x:mergeCells>
    <x:mergeCell ref="B2:I2"/>
    <x:mergeCell ref="B3:I3"/>
    <x:mergeCell ref="B7:I7"/>
    <x:mergeCell ref="B8:E8"/>
    <x:mergeCell ref="F8:G8"/>
    <x:mergeCell ref="H8:I8"/>
    <x:mergeCell ref="B9:E9"/>
    <x:mergeCell ref="F9:G9"/>
    <x:mergeCell ref="H9:I9"/>
    <x:mergeCell ref="B10:E10"/>
    <x:mergeCell ref="F10:G10"/>
    <x:mergeCell ref="H10:I10"/>
    <x:mergeCell ref="B11:E11"/>
    <x:mergeCell ref="F11:G11"/>
    <x:mergeCell ref="H11:I11"/>
    <x:mergeCell ref="B13:I13"/>
    <x:mergeCell ref="B14:E14"/>
    <x:mergeCell ref="F14:G14"/>
    <x:mergeCell ref="H14:I14"/>
    <x:mergeCell ref="B15:E15"/>
    <x:mergeCell ref="F15:G15"/>
    <x:mergeCell ref="H15:I15"/>
    <x:mergeCell ref="B16:E16"/>
    <x:mergeCell ref="F16:G16"/>
    <x:mergeCell ref="H16:I16"/>
    <x:mergeCell ref="B17:E17"/>
    <x:mergeCell ref="F17:G17"/>
    <x:mergeCell ref="H17:I17"/>
    <x:mergeCell ref="B19:I19"/>
    <x:mergeCell ref="B20:E20"/>
    <x:mergeCell ref="F20:G20"/>
    <x:mergeCell ref="H20:I20"/>
    <x:mergeCell ref="B21:E21"/>
    <x:mergeCell ref="F21:G21"/>
    <x:mergeCell ref="H21:I21"/>
    <x:mergeCell ref="B22:E22"/>
    <x:mergeCell ref="F22:G22"/>
    <x:mergeCell ref="H22:I22"/>
    <x:mergeCell ref="B23:E23"/>
    <x:mergeCell ref="F23:G23"/>
    <x:mergeCell ref="H23:I23"/>
    <x:mergeCell ref="B25:I25"/>
    <x:mergeCell ref="B26:E26"/>
    <x:mergeCell ref="F26:G26"/>
    <x:mergeCell ref="H26:I26"/>
    <x:mergeCell ref="B27:E27"/>
    <x:mergeCell ref="F27:G27"/>
    <x:mergeCell ref="H27:I27"/>
    <x:mergeCell ref="B28:E28"/>
    <x:mergeCell ref="F28:G28"/>
    <x:mergeCell ref="H28:I28"/>
    <x:mergeCell ref="B31:I31"/>
    <x:mergeCell ref="B33:I3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.200000047683716" hidden="0" customWidth="1"/>
    <x:col min="2" max="2" width="24" hidden="0" customWidth="1"/>
    <x:col min="3" max="3" width="22" hidden="0" customWidth="1"/>
    <x:col min="4" max="4" width="3" hidden="0" customWidth="1"/>
    <x:col min="5" max="5" width="22" hidden="0" customWidth="1"/>
    <x:col min="6" max="6" width="3" hidden="0" customWidth="1"/>
    <x:col min="7" max="7" width="22" hidden="0" customWidth="1"/>
    <x:col min="8" max="8" width="3" hidden="0" customWidth="1"/>
    <x:col min="9" max="9" width="22" hidden="0" customWidth="1"/>
    <x:col min="10" max="10" width="2.200000047683716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</x:row>
    <x:row r="2" ht="32" customHeight="1">
      <x:c r="A2" s="5"/>
      <x:c r="B2" s="12" t="str">
        <x:v>What you can do</x:v>
      </x:c>
      <x:c r="C2" s="12"/>
      <x:c r="D2" s="12"/>
      <x:c r="E2" s="12"/>
      <x:c r="F2" s="12"/>
      <x:c r="G2" s="12"/>
      <x:c r="H2" s="12"/>
      <x:c r="I2" s="12"/>
      <x:c r="J2" s="5"/>
    </x:row>
    <x:row r="3" ht="24" customHeight="1">
      <x:c r="A3" s="5"/>
      <x:c r="B3" s="18" t="str">
        <x:v>Choose a workspace, then use the service that fits the job.</x:v>
      </x:c>
      <x:c r="C3" s="18"/>
      <x:c r="D3" s="18"/>
      <x:c r="E3" s="18"/>
      <x:c r="F3" s="18"/>
      <x:c r="G3" s="18"/>
      <x:c r="H3" s="18"/>
      <x:c r="I3" s="18"/>
      <x:c r="J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</x:row>
    <x:row r="5" ht="31" customHeight="1">
      <x:c r="A5" s="5"/>
      <x:c r="B5" s="67" t="str">
        <x:v>A service may appear in more than one workspace, but ownership, approval, records and support change with the context.</x:v>
      </x:c>
      <x:c r="C5" s="67"/>
      <x:c r="D5" s="67"/>
      <x:c r="E5" s="67"/>
      <x:c r="F5" s="67"/>
      <x:c r="G5" s="67"/>
      <x:c r="H5" s="67"/>
      <x:c r="I5" s="67"/>
      <x:c r="J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</x:row>
    <x:row r="7" ht="24" customHeight="1">
      <x:c r="A7" s="5"/>
      <x:c r="B7" s="24" t="str">
        <x:v>Service catalog</x:v>
      </x:c>
      <x:c r="C7" s="24"/>
      <x:c r="D7" s="24"/>
      <x:c r="E7" s="24"/>
      <x:c r="F7" s="24"/>
      <x:c r="G7" s="24"/>
      <x:c r="H7" s="24"/>
      <x:c r="I7" s="24"/>
      <x:c r="J7" s="5"/>
    </x:row>
    <x:row r="8" ht="25" customHeight="1">
      <x:c r="A8" s="5"/>
      <x:c r="B8" s="31" t="str">
        <x:v>SERVICE</x:v>
      </x:c>
      <x:c r="C8" s="31"/>
      <x:c r="D8" s="31" t="str">
        <x:v>PERSONAL</x:v>
      </x:c>
      <x:c r="E8" s="31"/>
      <x:c r="F8" s="31" t="str">
        <x:v>HOUSEHOLD</x:v>
      </x:c>
      <x:c r="G8" s="31"/>
      <x:c r="H8" s="31" t="str">
        <x:v>SELLER</x:v>
      </x:c>
      <x:c r="I8" s="31"/>
      <x:c r="J8" s="5"/>
    </x:row>
    <x:row r="9" ht="56" customHeight="1">
      <x:c r="A9" s="5"/>
      <x:c r="B9" s="302" t="str">
        <x:v>Get paid</x:v>
      </x:c>
      <x:c r="C9" s="302"/>
      <x:c r="D9" s="36" t="str">
        <x:v>Quick Sell for your own occasional approved sale.</x:v>
      </x:c>
      <x:c r="E9" s="36"/>
      <x:c r="F9" s="36" t="str">
        <x:v>Help a named child, partner, parent or other member sell.</x:v>
      </x:c>
      <x:c r="G9" s="36"/>
      <x:c r="H9" s="36" t="str">
        <x:v>Payment links, invoices, recurring payments, checkout and payouts.</x:v>
      </x:c>
      <x:c r="I9" s="36"/>
      <x:c r="J9" s="5"/>
    </x:row>
    <x:row r="10" ht="56" customHeight="1">
      <x:c r="A10" s="5"/>
      <x:c r="B10" s="304" t="str">
        <x:v>Pay &amp; spend</x:v>
      </x:c>
      <x:c r="C10" s="304"/>
      <x:c r="D10" s="45" t="str">
        <x:v>Your own purchases and subscriptions.</x:v>
      </x:c>
      <x:c r="E10" s="45"/>
      <x:c r="F10" s="45" t="str">
        <x:v>Shared bills, allowances and supervised or delegated spending.</x:v>
      </x:c>
      <x:c r="G10" s="45"/>
      <x:c r="H10" s="45" t="str">
        <x:v>Vendors, projects, subscriptions and authorized team spending.</x:v>
      </x:c>
      <x:c r="I10" s="45"/>
      <x:c r="J10" s="5"/>
    </x:row>
    <x:row r="11" ht="56" customHeight="1">
      <x:c r="A11" s="5"/>
      <x:c r="B11" s="302" t="str">
        <x:v>Share &amp; control</x:v>
      </x:c>
      <x:c r="C11" s="302"/>
      <x:c r="D11" s="36" t="str">
        <x:v>Private owner controls.</x:v>
      </x:c>
      <x:c r="E11" s="36"/>
      <x:c r="F11" s="36" t="str">
        <x:v>Named roles, per-person limits and shared budgets.</x:v>
      </x:c>
      <x:c r="G11" s="36"/>
      <x:c r="H11" s="36" t="str">
        <x:v>Seller roles, approval chains and vendor or project limits.</x:v>
      </x:c>
      <x:c r="I11" s="36"/>
      <x:c r="J11" s="5"/>
    </x:row>
    <x:row r="12" ht="56" customHeight="1">
      <x:c r="A12" s="5"/>
      <x:c r="B12" s="304" t="str">
        <x:v>Help &amp; resolve</x:v>
      </x:c>
      <x:c r="C12" s="304"/>
      <x:c r="D12" s="45" t="str">
        <x:v>Application, billing, access and transaction help.</x:v>
      </x:c>
      <x:c r="E12" s="45"/>
      <x:c r="F12" s="45" t="str">
        <x:v>Invitation, permission, youth-access and shared-spending help.</x:v>
      </x:c>
      <x:c r="G12" s="45"/>
      <x:c r="H12" s="45" t="str">
        <x:v>Onboarding, payout, refund, dispute, risk and integration help.</x:v>
      </x:c>
      <x:c r="I12" s="45"/>
      <x:c r="J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</x:row>
    <x:row r="15" ht="24" customHeight="1">
      <x:c r="A15" s="5"/>
      <x:c r="B15" s="24" t="str">
        <x:v>Get paid: how the depth changes</x:v>
      </x:c>
      <x:c r="C15" s="24"/>
      <x:c r="D15" s="24"/>
      <x:c r="E15" s="24"/>
      <x:c r="F15" s="24"/>
      <x:c r="G15" s="24"/>
      <x:c r="H15" s="24"/>
      <x:c r="I15" s="24"/>
      <x:c r="J15" s="5"/>
    </x:row>
    <x:row r="16" ht="25" customHeight="1">
      <x:c r="A16" s="5"/>
      <x:c r="B16" s="31" t="str">
        <x:v>QUESTION</x:v>
      </x:c>
      <x:c r="C16" s="31"/>
      <x:c r="D16" s="31" t="str">
        <x:v>PERSONAL</x:v>
      </x:c>
      <x:c r="E16" s="31"/>
      <x:c r="F16" s="31" t="str">
        <x:v>HOUSEHOLD</x:v>
      </x:c>
      <x:c r="G16" s="31"/>
      <x:c r="H16" s="31" t="str">
        <x:v>SELLER</x:v>
      </x:c>
      <x:c r="I16" s="31"/>
      <x:c r="J16" s="5"/>
    </x:row>
    <x:row r="17" ht="48" customHeight="1">
      <x:c r="A17" s="5"/>
      <x:c r="B17" s="306" t="str">
        <x:v>Best for</x:v>
      </x:c>
      <x:c r="C17" s="306"/>
      <x:c r="D17" s="45" t="str">
        <x:v>Your own occasional sale.</x:v>
      </x:c>
      <x:c r="E17" s="45"/>
      <x:c r="F17" s="45" t="str">
        <x:v>Helping a named member sell.</x:v>
      </x:c>
      <x:c r="G17" s="45"/>
      <x:c r="H17" s="45" t="str">
        <x:v>Regular or professional selling.</x:v>
      </x:c>
      <x:c r="I17" s="45"/>
      <x:c r="J17" s="5"/>
    </x:row>
    <x:row r="18" ht="48" customHeight="1">
      <x:c r="A18" s="5"/>
      <x:c r="B18" s="308" t="str">
        <x:v>Seller identity</x:v>
      </x:c>
      <x:c r="C18" s="308"/>
      <x:c r="D18" s="36" t="str">
        <x:v>You.</x:v>
      </x:c>
      <x:c r="E18" s="36"/>
      <x:c r="F18" s="36" t="str">
        <x:v>The named approved adult or business.</x:v>
      </x:c>
      <x:c r="G18" s="36"/>
      <x:c r="H18" s="36" t="str">
        <x:v>The approved individual, sole proprietor or business.</x:v>
      </x:c>
      <x:c r="I18" s="36"/>
      <x:c r="J18" s="5"/>
    </x:row>
    <x:row r="19" ht="48" customHeight="1">
      <x:c r="A19" s="5"/>
      <x:c r="B19" s="306" t="str">
        <x:v>Tools</x:v>
      </x:c>
      <x:c r="C19" s="306"/>
      <x:c r="D19" s="45" t="str">
        <x:v>One-time link or QR, receipt and basic refund.</x:v>
      </x:c>
      <x:c r="E19" s="45"/>
      <x:c r="F19" s="45" t="str">
        <x:v>Share approved links and help with permitted tasks.</x:v>
      </x:c>
      <x:c r="G19" s="45"/>
      <x:c r="H19" s="45" t="str">
        <x:v>Links, invoices, recurring payments, checkout, Tap to Pay/POS and payouts.</x:v>
      </x:c>
      <x:c r="I19" s="45"/>
      <x:c r="J19" s="5"/>
    </x:row>
    <x:row r="20" ht="48" customHeight="1">
      <x:c r="A20" s="5"/>
      <x:c r="B20" s="308" t="str">
        <x:v>Money destination</x:v>
      </x:c>
      <x:c r="C20" s="308"/>
      <x:c r="D20" s="36" t="str">
        <x:v>Your approved payout account.</x:v>
      </x:c>
      <x:c r="E20" s="36"/>
      <x:c r="F20" s="36" t="str">
        <x:v>The named Seller's payout account.</x:v>
      </x:c>
      <x:c r="G20" s="36"/>
      <x:c r="H20" s="36" t="str">
        <x:v>The approved Seller payout account.</x:v>
      </x:c>
      <x:c r="I20" s="36"/>
      <x:c r="J20" s="5"/>
    </x:row>
    <x:row r="21" ht="48" customHeight="1">
      <x:c r="A21" s="5"/>
      <x:c r="B21" s="306" t="str">
        <x:v>Records</x:v>
      </x:c>
      <x:c r="C21" s="306"/>
      <x:c r="D21" s="45" t="str">
        <x:v>Simple sales and receipt history.</x:v>
      </x:c>
      <x:c r="E21" s="45"/>
      <x:c r="F21" s="45" t="str">
        <x:v>Shared view only where permitted.</x:v>
      </x:c>
      <x:c r="G21" s="45"/>
      <x:c r="H21" s="45" t="str">
        <x:v>Sales, fees, refunds, disputes, payouts and expenses.</x:v>
      </x:c>
      <x:c r="I21" s="45"/>
      <x:c r="J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</x:row>
    <x:row r="25" ht="24" customHeight="1">
      <x:c r="A25" s="5"/>
      <x:c r="B25" s="24" t="str">
        <x:v>Pay &amp; spend: how the account changes</x:v>
      </x:c>
      <x:c r="C25" s="24"/>
      <x:c r="D25" s="24"/>
      <x:c r="E25" s="24"/>
      <x:c r="F25" s="24"/>
      <x:c r="G25" s="24"/>
      <x:c r="H25" s="24"/>
      <x:c r="I25" s="24"/>
      <x:c r="J25" s="5"/>
    </x:row>
    <x:row r="26" ht="25" customHeight="1">
      <x:c r="A26" s="5"/>
      <x:c r="B26" s="31" t="str">
        <x:v>QUESTION</x:v>
      </x:c>
      <x:c r="C26" s="31"/>
      <x:c r="D26" s="31" t="str">
        <x:v>PERSONAL</x:v>
      </x:c>
      <x:c r="E26" s="31"/>
      <x:c r="F26" s="31" t="str">
        <x:v>HOUSEHOLD</x:v>
      </x:c>
      <x:c r="G26" s="31"/>
      <x:c r="H26" s="31" t="str">
        <x:v>SELLER</x:v>
      </x:c>
      <x:c r="I26" s="31"/>
      <x:c r="J26" s="5"/>
    </x:row>
    <x:row r="27" ht="52" customHeight="1">
      <x:c r="A27" s="5"/>
      <x:c r="B27" s="306" t="str">
        <x:v>Best for</x:v>
      </x:c>
      <x:c r="C27" s="306"/>
      <x:c r="D27" s="45" t="str">
        <x:v>Your own purchases and subscriptions.</x:v>
      </x:c>
      <x:c r="E27" s="45"/>
      <x:c r="F27" s="45" t="str">
        <x:v>Shared bills, allowances and supervised spending.</x:v>
      </x:c>
      <x:c r="G27" s="45"/>
      <x:c r="H27" s="45" t="str">
        <x:v>Commercial vendors, projects and authorized team spending.</x:v>
      </x:c>
      <x:c r="I27" s="45"/>
      <x:c r="J27" s="5"/>
    </x:row>
    <x:row r="28" ht="52" customHeight="1">
      <x:c r="A28" s="5"/>
      <x:c r="B28" s="308" t="str">
        <x:v>Account structure</x:v>
      </x:c>
      <x:c r="C28" s="308"/>
      <x:c r="D28" s="36" t="str">
        <x:v>Secured consumer pay-in-full account.</x:v>
      </x:c>
      <x:c r="E28" s="36"/>
      <x:c r="F28" s="36" t="str">
        <x:v>Authorized adult access plus supervised funded access for children and teens.</x:v>
      </x:c>
      <x:c r="G28" s="36"/>
      <x:c r="H28" s="36" t="str">
        <x:v>Secured commercial charge account.</x:v>
      </x:c>
      <x:c r="I28" s="36"/>
      <x:c r="J28" s="5"/>
    </x:row>
    <x:row r="29" ht="52" customHeight="1">
      <x:c r="A29" s="5"/>
      <x:c r="B29" s="306" t="str">
        <x:v>Responsibility</x:v>
      </x:c>
      <x:c r="C29" s="306"/>
      <x:c r="D29" s="45" t="str">
        <x:v>You own and repay.</x:v>
      </x:c>
      <x:c r="E29" s="45"/>
      <x:c r="F29" s="45" t="str">
        <x:v>The primary owner or guardian remains responsible.</x:v>
      </x:c>
      <x:c r="G29" s="45"/>
      <x:c r="H29" s="45" t="str">
        <x:v>The Seller owner or business remains responsible.</x:v>
      </x:c>
      <x:c r="I29" s="45"/>
      <x:c r="J29" s="5"/>
    </x:row>
    <x:row r="30" ht="52" customHeight="1">
      <x:c r="A30" s="5"/>
      <x:c r="B30" s="308" t="str">
        <x:v>Repayment</x:v>
      </x:c>
      <x:c r="C30" s="308"/>
      <x:c r="D30" s="36" t="str">
        <x:v>Full statement payment on the disclosed schedule.</x:v>
      </x:c>
      <x:c r="E30" s="36"/>
      <x:c r="F30" s="36" t="str">
        <x:v>Owner repays shared credit use; supervised funded access has no credit bill.</x:v>
      </x:c>
      <x:c r="G30" s="36"/>
      <x:c r="H30" s="36" t="str">
        <x:v>Full daily repayment at launch; no revolving balance.</x:v>
      </x:c>
      <x:c r="I30" s="36"/>
      <x:c r="J30" s="5"/>
    </x:row>
    <x:row r="31" ht="52" customHeight="1">
      <x:c r="A31" s="5"/>
      <x:c r="B31" s="306" t="str">
        <x:v>Controls</x:v>
      </x:c>
      <x:c r="C31" s="306"/>
      <x:c r="D31" s="45" t="str">
        <x:v>Freeze, alerts, limits and merchant-specific access.</x:v>
      </x:c>
      <x:c r="E31" s="45"/>
      <x:c r="F31" s="45" t="str">
        <x:v>Per-person limits, categories, allowances and instant freeze.</x:v>
      </x:c>
      <x:c r="G31" s="45"/>
      <x:c r="H31" s="45" t="str">
        <x:v>Vendor/project budgets, approval rules and merchant/category/country controls.</x:v>
      </x:c>
      <x:c r="I31" s="45"/>
      <x:c r="J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</x:row>
    <x:row r="34" ht="31" customHeight="1">
      <x:c r="A34" s="5"/>
      <x:c r="B34" s="71" t="str">
        <x:v>One membership can include all three workspaces, but merchant approval, consumer spending approval and commercial spending approval remain separate.</x:v>
      </x:c>
      <x:c r="C34" s="71"/>
      <x:c r="D34" s="71"/>
      <x:c r="E34" s="71"/>
      <x:c r="F34" s="71"/>
      <x:c r="G34" s="71"/>
      <x:c r="H34" s="71"/>
      <x:c r="I34" s="71"/>
      <x:c r="J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</x:row>
  </x:sheetData>
  <x:mergeCells>
    <x:mergeCell ref="B2:I2"/>
    <x:mergeCell ref="B3:I3"/>
    <x:mergeCell ref="B5:I5"/>
    <x:mergeCell ref="B7:I7"/>
    <x:mergeCell ref="B9:C9"/>
    <x:mergeCell ref="D9:E9"/>
    <x:mergeCell ref="F9:G9"/>
    <x:mergeCell ref="H9:I9"/>
    <x:mergeCell ref="B10:C10"/>
    <x:mergeCell ref="D10:E10"/>
    <x:mergeCell ref="F10:G10"/>
    <x:mergeCell ref="H10:I10"/>
    <x:mergeCell ref="B11:C11"/>
    <x:mergeCell ref="D11:E11"/>
    <x:mergeCell ref="F11:G11"/>
    <x:mergeCell ref="H11:I11"/>
    <x:mergeCell ref="B12:C12"/>
    <x:mergeCell ref="D12:E12"/>
    <x:mergeCell ref="F12:G12"/>
    <x:mergeCell ref="H12:I12"/>
    <x:mergeCell ref="B15:I15"/>
    <x:mergeCell ref="B17:C17"/>
    <x:mergeCell ref="D17:E17"/>
    <x:mergeCell ref="F17:G17"/>
    <x:mergeCell ref="H17:I17"/>
    <x:mergeCell ref="B18:C18"/>
    <x:mergeCell ref="D18:E18"/>
    <x:mergeCell ref="F18:G18"/>
    <x:mergeCell ref="H18:I18"/>
    <x:mergeCell ref="B19:C19"/>
    <x:mergeCell ref="D19:E19"/>
    <x:mergeCell ref="F19:G19"/>
    <x:mergeCell ref="H19:I19"/>
    <x:mergeCell ref="B20:C20"/>
    <x:mergeCell ref="D20:E20"/>
    <x:mergeCell ref="F20:G20"/>
    <x:mergeCell ref="H20:I20"/>
    <x:mergeCell ref="B21:C21"/>
    <x:mergeCell ref="D21:E21"/>
    <x:mergeCell ref="F21:G21"/>
    <x:mergeCell ref="H21:I21"/>
    <x:mergeCell ref="B25:I25"/>
    <x:mergeCell ref="B27:C27"/>
    <x:mergeCell ref="D27:E27"/>
    <x:mergeCell ref="F27:G27"/>
    <x:mergeCell ref="H27:I27"/>
    <x:mergeCell ref="B28:C28"/>
    <x:mergeCell ref="D28:E28"/>
    <x:mergeCell ref="F28:G28"/>
    <x:mergeCell ref="H28:I28"/>
    <x:mergeCell ref="B29:C29"/>
    <x:mergeCell ref="D29:E29"/>
    <x:mergeCell ref="F29:G29"/>
    <x:mergeCell ref="H29:I29"/>
    <x:mergeCell ref="B30:C30"/>
    <x:mergeCell ref="D30:E30"/>
    <x:mergeCell ref="F30:G30"/>
    <x:mergeCell ref="H30:I30"/>
    <x:mergeCell ref="B31:C31"/>
    <x:mergeCell ref="D31:E31"/>
    <x:mergeCell ref="F31:G31"/>
    <x:mergeCell ref="H31:I31"/>
    <x:mergeCell ref="B34:I3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.200000047683716" hidden="0" customWidth="1"/>
    <x:col min="2" max="2" width="24" hidden="0" customWidth="1"/>
    <x:col min="3" max="3" width="22" hidden="0" customWidth="1"/>
    <x:col min="4" max="4" width="3" hidden="0" customWidth="1"/>
    <x:col min="5" max="5" width="22" hidden="0" customWidth="1"/>
    <x:col min="6" max="6" width="3" hidden="0" customWidth="1"/>
    <x:col min="7" max="7" width="22" hidden="0" customWidth="1"/>
    <x:col min="8" max="8" width="3" hidden="0" customWidth="1"/>
    <x:col min="9" max="9" width="22" hidden="0" customWidth="1"/>
    <x:col min="10" max="10" width="2.200000047683716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</x:row>
    <x:row r="2" ht="32" customHeight="1">
      <x:c r="A2" s="5"/>
      <x:c r="B2" s="12" t="str">
        <x:v>Your lifecycle</x:v>
      </x:c>
      <x:c r="C2" s="12"/>
      <x:c r="D2" s="12"/>
      <x:c r="E2" s="12"/>
      <x:c r="F2" s="12"/>
      <x:c r="G2" s="12"/>
      <x:c r="H2" s="12"/>
      <x:c r="I2" s="12"/>
      <x:c r="J2" s="5"/>
    </x:row>
    <x:row r="3" ht="24" customHeight="1">
      <x:c r="A3" s="5"/>
      <x:c r="B3" s="18" t="str">
        <x:v>Every product follows a clear stage, status and next action.</x:v>
      </x:c>
      <x:c r="C3" s="18"/>
      <x:c r="D3" s="18"/>
      <x:c r="E3" s="18"/>
      <x:c r="F3" s="18"/>
      <x:c r="G3" s="18"/>
      <x:c r="H3" s="18"/>
      <x:c r="I3" s="18"/>
      <x:c r="J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</x:row>
    <x:row r="5" ht="31" customHeight="1">
      <x:c r="A5" s="5"/>
      <x:c r="B5" s="67" t="str">
        <x:v>You should always be able to see what is active, what is waiting, who needs to act and what happens next.</x:v>
      </x:c>
      <x:c r="C5" s="67"/>
      <x:c r="D5" s="67"/>
      <x:c r="E5" s="67"/>
      <x:c r="F5" s="67"/>
      <x:c r="G5" s="67"/>
      <x:c r="H5" s="67"/>
      <x:c r="I5" s="67"/>
      <x:c r="J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</x:row>
    <x:row r="7" ht="24" customHeight="1">
      <x:c r="A7" s="5"/>
      <x:c r="B7" s="24" t="str">
        <x:v>Membership lifecycle</x:v>
      </x:c>
      <x:c r="C7" s="24"/>
      <x:c r="D7" s="24"/>
      <x:c r="E7" s="24"/>
      <x:c r="F7" s="24"/>
      <x:c r="G7" s="24"/>
      <x:c r="H7" s="24"/>
      <x:c r="I7" s="24"/>
      <x:c r="J7" s="5"/>
    </x:row>
    <x:row r="8" ht="25" customHeight="1">
      <x:c r="A8" s="5"/>
      <x:c r="B8" s="31" t="str">
        <x:v>STAGE</x:v>
      </x:c>
      <x:c r="C8" s="31"/>
      <x:c r="D8" s="31" t="str">
        <x:v>YOUR GOAL</x:v>
      </x:c>
      <x:c r="E8" s="31"/>
      <x:c r="F8" s="31" t="str">
        <x:v>WHAT HAPPENS</x:v>
      </x:c>
      <x:c r="G8" s="31"/>
      <x:c r="H8" s="31" t="str">
        <x:v>VISIBLE STATUS</x:v>
      </x:c>
      <x:c r="I8" s="31"/>
      <x:c r="J8" s="5"/>
    </x:row>
    <x:row r="9" ht="45" customHeight="1">
      <x:c r="A9" s="5"/>
      <x:c r="B9" s="304" t="str">
        <x:v>Join</x:v>
      </x:c>
      <x:c r="C9" s="304"/>
      <x:c r="D9" s="45" t="str">
        <x:v>Choose a membership.</x:v>
      </x:c>
      <x:c r="E9" s="45"/>
      <x:c r="F9" s="45" t="str">
        <x:v>Create membership and accept terms.</x:v>
      </x:c>
      <x:c r="G9" s="45"/>
      <x:c r="H9" s="45" t="str">
        <x:v>Started / Complete</x:v>
      </x:c>
      <x:c r="I9" s="45"/>
      <x:c r="J9" s="5"/>
    </x:row>
    <x:row r="10" ht="45" customHeight="1">
      <x:c r="A10" s="5"/>
      <x:c r="B10" s="302" t="str">
        <x:v>Verify</x:v>
      </x:c>
      <x:c r="C10" s="302"/>
      <x:c r="D10" s="36" t="str">
        <x:v>Confirm who you are.</x:v>
      </x:c>
      <x:c r="E10" s="36"/>
      <x:c r="F10" s="36" t="str">
        <x:v>Identity and eligibility checks.</x:v>
      </x:c>
      <x:c r="G10" s="36"/>
      <x:c r="H10" s="36" t="str">
        <x:v>Information needed / In review / Verified</x:v>
      </x:c>
      <x:c r="I10" s="36"/>
      <x:c r="J10" s="5"/>
    </x:row>
    <x:row r="11" ht="45" customHeight="1">
      <x:c r="A11" s="5"/>
      <x:c r="B11" s="304" t="str">
        <x:v>Activate</x:v>
      </x:c>
      <x:c r="C11" s="304"/>
      <x:c r="D11" s="45" t="str">
        <x:v>Turn on workspaces and services.</x:v>
      </x:c>
      <x:c r="E11" s="45"/>
      <x:c r="F11" s="45" t="str">
        <x:v>Request Seller or spending access where needed.</x:v>
      </x:c>
      <x:c r="G11" s="45"/>
      <x:c r="H11" s="45" t="str">
        <x:v>Available / Applied / Active</x:v>
      </x:c>
      <x:c r="I11" s="45"/>
      <x:c r="J11" s="5"/>
    </x:row>
    <x:row r="12" ht="45" customHeight="1">
      <x:c r="A12" s="5"/>
      <x:c r="B12" s="302" t="str">
        <x:v>Use</x:v>
      </x:c>
      <x:c r="C12" s="302"/>
      <x:c r="D12" s="36" t="str">
        <x:v>Get paid, pay, spend and share.</x:v>
      </x:c>
      <x:c r="E12" s="36"/>
      <x:c r="F12" s="36" t="str">
        <x:v>Transactions, records, limits and rewards.</x:v>
      </x:c>
      <x:c r="G12" s="36"/>
      <x:c r="H12" s="36" t="str">
        <x:v>Active / Limited / Paused</x:v>
      </x:c>
      <x:c r="I12" s="36"/>
      <x:c r="J12" s="5"/>
    </x:row>
    <x:row r="13" ht="45" customHeight="1">
      <x:c r="A13" s="5"/>
      <x:c r="B13" s="304" t="str">
        <x:v>Manage</x:v>
      </x:c>
      <x:c r="C13" s="304"/>
      <x:c r="D13" s="45" t="str">
        <x:v>Change access or solve a problem.</x:v>
      </x:c>
      <x:c r="E13" s="45"/>
      <x:c r="F13" s="45" t="str">
        <x:v>Update permissions or open a support request.</x:v>
      </x:c>
      <x:c r="G13" s="45"/>
      <x:c r="H13" s="45" t="str">
        <x:v>New / Assigned / Waiting / Resolved</x:v>
      </x:c>
      <x:c r="I13" s="45"/>
      <x:c r="J13" s="5"/>
    </x:row>
    <x:row r="14" ht="45" customHeight="1">
      <x:c r="A14" s="5"/>
      <x:c r="B14" s="302" t="str">
        <x:v>Renew</x:v>
      </x:c>
      <x:c r="C14" s="302"/>
      <x:c r="D14" s="36" t="str">
        <x:v>Review value and continue.</x:v>
      </x:c>
      <x:c r="E14" s="36"/>
      <x:c r="F14" s="36" t="str">
        <x:v>Renew, upgrade, downgrade or cancel.</x:v>
      </x:c>
      <x:c r="G14" s="36"/>
      <x:c r="H14" s="36" t="str">
        <x:v>Renewing / Renewed / Ending</x:v>
      </x:c>
      <x:c r="I14" s="36"/>
      <x:c r="J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</x:row>
    <x:row r="17" ht="24" customHeight="1">
      <x:c r="A17" s="5"/>
      <x:c r="B17" s="24" t="str">
        <x:v>Service activation playbooks</x:v>
      </x:c>
      <x:c r="C17" s="24"/>
      <x:c r="D17" s="24"/>
      <x:c r="E17" s="24"/>
      <x:c r="F17" s="24"/>
      <x:c r="G17" s="24"/>
      <x:c r="H17" s="24"/>
      <x:c r="I17" s="24"/>
      <x:c r="J17" s="5"/>
    </x:row>
    <x:row r="18" ht="25" customHeight="1">
      <x:c r="A18" s="5"/>
      <x:c r="B18" s="31" t="str">
        <x:v>SERVICE</x:v>
      </x:c>
      <x:c r="C18" s="31"/>
      <x:c r="D18" s="31" t="str">
        <x:v>APPLY</x:v>
      </x:c>
      <x:c r="E18" s="31"/>
      <x:c r="F18" s="31" t="str">
        <x:v>REVIEW</x:v>
      </x:c>
      <x:c r="G18" s="31"/>
      <x:c r="H18" s="31" t="str">
        <x:v>ACTIVATE &amp; USE</x:v>
      </x:c>
      <x:c r="I18" s="31"/>
      <x:c r="J18" s="5"/>
    </x:row>
    <x:row r="19" ht="48" customHeight="1">
      <x:c r="A19" s="5"/>
      <x:c r="B19" s="306" t="str">
        <x:v>Quick Sell</x:v>
      </x:c>
      <x:c r="C19" s="306"/>
      <x:c r="D19" s="45" t="str">
        <x:v>Confirm seller identity and activity.</x:v>
      </x:c>
      <x:c r="E19" s="45"/>
      <x:c r="F19" s="45" t="str">
        <x:v>Review eligibility and payout details.</x:v>
      </x:c>
      <x:c r="G19" s="45"/>
      <x:c r="H19" s="45" t="str">
        <x:v>Create link or QR, accept payment and track payout.</x:v>
      </x:c>
      <x:c r="I19" s="45"/>
      <x:c r="J19" s="5"/>
    </x:row>
    <x:row r="20" ht="48" customHeight="1">
      <x:c r="A20" s="5"/>
      <x:c r="B20" s="308" t="str">
        <x:v>Full Seller</x:v>
      </x:c>
      <x:c r="C20" s="308"/>
      <x:c r="D20" s="36" t="str">
        <x:v>Provide individual or business details.</x:v>
      </x:c>
      <x:c r="E20" s="36"/>
      <x:c r="F20" s="36" t="str">
        <x:v>Complete underwriting, agreements and controls.</x:v>
      </x:c>
      <x:c r="G20" s="36"/>
      <x:c r="H20" s="36" t="str">
        <x:v>Use links, invoices, recurring payments, checkout and payouts.</x:v>
      </x:c>
      <x:c r="I20" s="36"/>
      <x:c r="J20" s="5"/>
    </x:row>
    <x:row r="21" ht="48" customHeight="1">
      <x:c r="A21" s="5"/>
      <x:c r="B21" s="306" t="str">
        <x:v>Personal spend</x:v>
      </x:c>
      <x:c r="C21" s="306"/>
      <x:c r="D21" s="45" t="str">
        <x:v>Apply and provide required information.</x:v>
      </x:c>
      <x:c r="E21" s="45"/>
      <x:c r="F21" s="45" t="str">
        <x:v>Review identity, collateral and terms.</x:v>
      </x:c>
      <x:c r="G21" s="45"/>
      <x:c r="H21" s="45" t="str">
        <x:v>Fund or secure, activate access, spend and repay.</x:v>
      </x:c>
      <x:c r="I21" s="45"/>
      <x:c r="J21" s="5"/>
    </x:row>
    <x:row r="22" ht="48" customHeight="1">
      <x:c r="A22" s="5"/>
      <x:c r="B22" s="308" t="str">
        <x:v>Household access</x:v>
      </x:c>
      <x:c r="C22" s="308"/>
      <x:c r="D22" s="36" t="str">
        <x:v>Invite a named participant.</x:v>
      </x:c>
      <x:c r="E22" s="36"/>
      <x:c r="F22" s="36" t="str">
        <x:v>Confirm role, age and permission type.</x:v>
      </x:c>
      <x:c r="G22" s="36"/>
      <x:c r="H22" s="36" t="str">
        <x:v>Set limits, share access and monitor activity.</x:v>
      </x:c>
      <x:c r="I22" s="36"/>
      <x:c r="J22" s="5"/>
    </x:row>
    <x:row r="23" ht="48" customHeight="1">
      <x:c r="A23" s="5"/>
      <x:c r="B23" s="306" t="str">
        <x:v>Seller spend</x:v>
      </x:c>
      <x:c r="C23" s="306"/>
      <x:c r="D23" s="45" t="str">
        <x:v>Apply through an approved Seller.</x:v>
      </x:c>
      <x:c r="E23" s="45"/>
      <x:c r="F23" s="45" t="str">
        <x:v>Review business purpose, collateral and controls.</x:v>
      </x:c>
      <x:c r="G23" s="45"/>
      <x:c r="H23" s="45" t="str">
        <x:v>Activate commercial access, delegate spending and repay.</x:v>
      </x:c>
      <x:c r="I23" s="45"/>
      <x:c r="J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</x:row>
    <x:row r="27" ht="24" customHeight="1">
      <x:c r="A27" s="5"/>
      <x:c r="B27" s="24" t="str">
        <x:v>Help &amp; resolve</x:v>
      </x:c>
      <x:c r="C27" s="24"/>
      <x:c r="D27" s="24"/>
      <x:c r="E27" s="24"/>
      <x:c r="F27" s="24"/>
      <x:c r="G27" s="24"/>
      <x:c r="H27" s="24"/>
      <x:c r="I27" s="24"/>
      <x:c r="J27" s="5"/>
    </x:row>
    <x:row r="28" ht="34" customHeight="1">
      <x:c r="A28" s="5"/>
      <x:c r="B28" s="312" t="str">
        <x:v>Application question</x:v>
      </x:c>
      <x:c r="C28" s="312"/>
      <x:c r="D28" s="312"/>
      <x:c r="E28" s="310" t="str">
        <x:v>Check status, provide information or ask for review.</x:v>
      </x:c>
      <x:c r="F28" s="310"/>
      <x:c r="G28" s="310"/>
      <x:c r="H28" s="310"/>
      <x:c r="I28" s="310"/>
      <x:c r="J28" s="5"/>
    </x:row>
    <x:row r="29" ht="34" customHeight="1">
      <x:c r="A29" s="5"/>
      <x:c r="B29" s="316" t="str">
        <x:v>Payment or payout issue</x:v>
      </x:c>
      <x:c r="C29" s="316"/>
      <x:c r="D29" s="316"/>
      <x:c r="E29" s="314" t="str">
        <x:v>Open a request tied to the specific transaction or payout.</x:v>
      </x:c>
      <x:c r="F29" s="314"/>
      <x:c r="G29" s="314"/>
      <x:c r="H29" s="314"/>
      <x:c r="I29" s="314"/>
      <x:c r="J29" s="5"/>
    </x:row>
    <x:row r="30" ht="34" customHeight="1">
      <x:c r="A30" s="5"/>
      <x:c r="B30" s="312" t="str">
        <x:v>Refund or dispute</x:v>
      </x:c>
      <x:c r="C30" s="312"/>
      <x:c r="D30" s="312"/>
      <x:c r="E30" s="310" t="str">
        <x:v>Follow the guided steps and see who is responsible for the next action.</x:v>
      </x:c>
      <x:c r="F30" s="310"/>
      <x:c r="G30" s="310"/>
      <x:c r="H30" s="310"/>
      <x:c r="I30" s="310"/>
      <x:c r="J30" s="5"/>
    </x:row>
    <x:row r="31" ht="34" customHeight="1">
      <x:c r="A31" s="5"/>
      <x:c r="B31" s="316" t="str">
        <x:v>Access or permission issue</x:v>
      </x:c>
      <x:c r="C31" s="316"/>
      <x:c r="D31" s="316"/>
      <x:c r="E31" s="314" t="str">
        <x:v>Change, freeze or remove access without closing unrelated services.</x:v>
      </x:c>
      <x:c r="F31" s="314"/>
      <x:c r="G31" s="314"/>
      <x:c r="H31" s="314"/>
      <x:c r="I31" s="314"/>
      <x:c r="J31" s="5"/>
    </x:row>
    <x:row r="32" ht="34" customHeight="1">
      <x:c r="A32" s="5"/>
      <x:c r="B32" s="312" t="str">
        <x:v>Membership request</x:v>
      </x:c>
      <x:c r="C32" s="312"/>
      <x:c r="D32" s="312"/>
      <x:c r="E32" s="310" t="str">
        <x:v>Upgrade, downgrade, renew or cancel with clear effective dates.</x:v>
      </x:c>
      <x:c r="F32" s="310"/>
      <x:c r="G32" s="310"/>
      <x:c r="H32" s="310"/>
      <x:c r="I32" s="310"/>
      <x:c r="J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</x:row>
  </x:sheetData>
  <x:mergeCells>
    <x:mergeCell ref="B2:I2"/>
    <x:mergeCell ref="B3:I3"/>
    <x:mergeCell ref="B5:I5"/>
    <x:mergeCell ref="B7:I7"/>
    <x:mergeCell ref="B9:C9"/>
    <x:mergeCell ref="D9:E9"/>
    <x:mergeCell ref="F9:G9"/>
    <x:mergeCell ref="H9:I9"/>
    <x:mergeCell ref="B10:C10"/>
    <x:mergeCell ref="D10:E10"/>
    <x:mergeCell ref="F10:G10"/>
    <x:mergeCell ref="H10:I10"/>
    <x:mergeCell ref="B11:C11"/>
    <x:mergeCell ref="D11:E11"/>
    <x:mergeCell ref="F11:G11"/>
    <x:mergeCell ref="H11:I11"/>
    <x:mergeCell ref="B12:C12"/>
    <x:mergeCell ref="D12:E12"/>
    <x:mergeCell ref="F12:G12"/>
    <x:mergeCell ref="H12:I12"/>
    <x:mergeCell ref="B13:C13"/>
    <x:mergeCell ref="D13:E13"/>
    <x:mergeCell ref="F13:G13"/>
    <x:mergeCell ref="H13:I13"/>
    <x:mergeCell ref="B14:C14"/>
    <x:mergeCell ref="D14:E14"/>
    <x:mergeCell ref="F14:G14"/>
    <x:mergeCell ref="H14:I14"/>
    <x:mergeCell ref="B17:I17"/>
    <x:mergeCell ref="B19:C19"/>
    <x:mergeCell ref="D19:E19"/>
    <x:mergeCell ref="F19:G19"/>
    <x:mergeCell ref="H19:I19"/>
    <x:mergeCell ref="B20:C20"/>
    <x:mergeCell ref="D20:E20"/>
    <x:mergeCell ref="F20:G20"/>
    <x:mergeCell ref="H20:I20"/>
    <x:mergeCell ref="B21:C21"/>
    <x:mergeCell ref="D21:E21"/>
    <x:mergeCell ref="F21:G21"/>
    <x:mergeCell ref="H21:I21"/>
    <x:mergeCell ref="B22:C22"/>
    <x:mergeCell ref="D22:E22"/>
    <x:mergeCell ref="F22:G22"/>
    <x:mergeCell ref="H22:I22"/>
    <x:mergeCell ref="B23:C23"/>
    <x:mergeCell ref="D23:E23"/>
    <x:mergeCell ref="F23:G23"/>
    <x:mergeCell ref="H23:I23"/>
    <x:mergeCell ref="B27:I27"/>
    <x:mergeCell ref="B28:D28"/>
    <x:mergeCell ref="E28:I28"/>
    <x:mergeCell ref="B29:D29"/>
    <x:mergeCell ref="E29:I29"/>
    <x:mergeCell ref="B30:D30"/>
    <x:mergeCell ref="E30:I30"/>
    <x:mergeCell ref="B31:D31"/>
    <x:mergeCell ref="E31:I31"/>
    <x:mergeCell ref="B32:D32"/>
    <x:mergeCell ref="E32:I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.200000047683716" hidden="0" customWidth="1"/>
    <x:col min="2" max="2" width="24" hidden="0" customWidth="1"/>
    <x:col min="3" max="3" width="22" hidden="0" customWidth="1"/>
    <x:col min="4" max="4" width="3" hidden="0" customWidth="1"/>
    <x:col min="5" max="5" width="22" hidden="0" customWidth="1"/>
    <x:col min="6" max="6" width="3" hidden="0" customWidth="1"/>
    <x:col min="7" max="7" width="22" hidden="0" customWidth="1"/>
    <x:col min="8" max="8" width="3" hidden="0" customWidth="1"/>
    <x:col min="9" max="9" width="22" hidden="0" customWidth="1"/>
    <x:col min="10" max="10" width="2.200000047683716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</x:row>
    <x:row r="2" ht="32" customHeight="1">
      <x:c r="A2" s="5"/>
      <x:c r="B2" s="12" t="str">
        <x:v>Value calculator</x:v>
      </x:c>
      <x:c r="C2" s="12"/>
      <x:c r="D2" s="12"/>
      <x:c r="E2" s="12"/>
      <x:c r="F2" s="12"/>
      <x:c r="G2" s="12"/>
      <x:c r="H2" s="12"/>
      <x:c r="I2" s="12"/>
      <x:c r="J2" s="5"/>
    </x:row>
    <x:row r="3" ht="24" customHeight="1">
      <x:c r="A3" s="5"/>
      <x:c r="B3" s="18" t="str">
        <x:v>Enter your activity once. Compare Select and Premier.</x:v>
      </x:c>
      <x:c r="C3" s="18"/>
      <x:c r="D3" s="18"/>
      <x:c r="E3" s="18"/>
      <x:c r="F3" s="18"/>
      <x:c r="G3" s="18"/>
      <x:c r="H3" s="18"/>
      <x:c r="I3" s="18"/>
      <x:c r="J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</x:row>
    <x:row r="5" ht="31" customHeight="1">
      <x:c r="A5" s="5"/>
      <x:c r="B5" s="67" t="str">
        <x:v>Blue cells are your inputs. Enter 0 for both sales fields when you only want to compare spending rewards.</x:v>
      </x:c>
      <x:c r="C5" s="67"/>
      <x:c r="D5" s="67"/>
      <x:c r="E5" s="67"/>
      <x:c r="F5" s="67"/>
      <x:c r="G5" s="67"/>
      <x:c r="H5" s="67"/>
      <x:c r="I5" s="67"/>
      <x:c r="J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</x:row>
    <x:row r="7" ht="24" customHeight="1">
      <x:c r="A7" s="5"/>
      <x:c r="B7" s="24" t="str">
        <x:v>1. Your activity</x:v>
      </x:c>
      <x:c r="C7" s="24"/>
      <x:c r="D7" s="24"/>
      <x:c r="E7" s="24"/>
      <x:c r="F7" s="24"/>
      <x:c r="G7" s="24"/>
      <x:c r="H7" s="24"/>
      <x:c r="I7" s="24"/>
      <x:c r="J7" s="5"/>
    </x:row>
    <x:row r="8" ht="31" customHeight="1">
      <x:c r="A8" s="5"/>
      <x:c r="B8" s="310" t="str">
        <x:v>Your figures are</x:v>
      </x:c>
      <x:c r="C8" s="310"/>
      <x:c r="D8" s="310"/>
      <x:c r="E8" s="310"/>
      <x:c r="F8" s="320" t="str">
        <x:v>Annual</x:v>
      </x:c>
      <x:c r="G8" s="320"/>
      <x:c r="H8" s="310" t="str">
        <x:v>Annual or monthly</x:v>
      </x:c>
      <x:c r="I8" s="310"/>
      <x:c r="J8" s="5"/>
    </x:row>
    <x:row r="9" ht="31" customHeight="1">
      <x:c r="A9" s="5"/>
      <x:c r="B9" s="314" t="str">
        <x:v>Sales received from customers</x:v>
      </x:c>
      <x:c r="C9" s="314"/>
      <x:c r="D9" s="314"/>
      <x:c r="E9" s="314"/>
      <x:c r="F9" s="324" t="n">
        <x:v>100000</x:v>
      </x:c>
      <x:c r="G9" s="324"/>
      <x:c r="H9" s="314" t="str">
        <x:v>Approved Quick Sell and Seller sales only</x:v>
      </x:c>
      <x:c r="I9" s="314"/>
      <x:c r="J9" s="5"/>
    </x:row>
    <x:row r="10" ht="31" customHeight="1">
      <x:c r="A10" s="5"/>
      <x:c r="B10" s="310" t="str">
        <x:v>Number of customer payments</x:v>
      </x:c>
      <x:c r="C10" s="310"/>
      <x:c r="D10" s="310"/>
      <x:c r="E10" s="310"/>
      <x:c r="F10" s="324" t="n">
        <x:v>1000</x:v>
      </x:c>
      <x:c r="G10" s="324"/>
      <x:c r="H10" s="310" t="str">
        <x:v>Commercial customer payments</x:v>
      </x:c>
      <x:c r="I10" s="310"/>
      <x:c r="J10" s="5"/>
    </x:row>
    <x:row r="11" ht="31" customHeight="1">
      <x:c r="A11" s="5"/>
      <x:c r="B11" s="314" t="str">
        <x:v>Eligible purchases</x:v>
      </x:c>
      <x:c r="C11" s="314"/>
      <x:c r="D11" s="314"/>
      <x:c r="E11" s="314"/>
      <x:c r="F11" s="324" t="n">
        <x:v>24000</x:v>
      </x:c>
      <x:c r="G11" s="324"/>
      <x:c r="H11" s="314" t="str">
        <x:v>Personal, Household and Seller purchases</x:v>
      </x:c>
      <x:c r="I11" s="314"/>
      <x:c r="J11" s="5"/>
    </x:row>
    <x:row r="12" ht="31" customHeight="1">
      <x:c r="A12" s="5"/>
      <x:c r="B12" s="310" t="str">
        <x:v>Estimated card-brand cost on sales</x:v>
      </x:c>
      <x:c r="C12" s="310"/>
      <x:c r="D12" s="310"/>
      <x:c r="E12" s="310"/>
      <x:c r="F12" s="326" t="n">
        <x:v>0.019</x:v>
      </x:c>
      <x:c r="G12" s="326"/>
      <x:c r="H12" s="310" t="str">
        <x:v>Advanced input; 1.90% is only an example</x:v>
      </x:c>
      <x:c r="I12" s="310"/>
      <x:c r="J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</x:row>
    <x:row r="15" ht="24" customHeight="1">
      <x:c r="A15" s="5"/>
      <x:c r="B15" s="24" t="str">
        <x:v>2. Your result</x:v>
      </x:c>
      <x:c r="C15" s="24"/>
      <x:c r="D15" s="24"/>
      <x:c r="E15" s="24"/>
      <x:c r="F15" s="24"/>
      <x:c r="G15" s="24"/>
      <x:c r="H15" s="24"/>
      <x:c r="I15" s="24"/>
      <x:c r="J15" s="5"/>
    </x:row>
    <x:row r="16">
      <x:c r="A16" s="5"/>
      <x:c r="B16" s="31" t="str">
        <x:v>SELECT</x:v>
      </x:c>
      <x:c r="C16" s="31"/>
      <x:c r="D16" s="31"/>
      <x:c r="E16" s="31" t="str">
        <x:v>PREMIER</x:v>
      </x:c>
      <x:c r="F16" s="31"/>
      <x:c r="G16" s="31"/>
      <x:c r="H16" s="31" t="str">
        <x:v>YEARLY DIFFERENCE</x:v>
      </x:c>
      <x:c r="I16" s="31"/>
      <x:c r="J16" s="5"/>
    </x:row>
    <x:row r="17">
      <x:c r="A17" s="5"/>
      <x:c r="B17" s="374" t="n">
        <x:f>F64</x:f>
        <x:v>3200</x:v>
      </x:c>
      <x:c r="C17" s="375"/>
      <x:c r="D17" s="376"/>
      <x:c r="E17" s="374" t="n">
        <x:f>F65</x:f>
        <x:v>2600</x:v>
      </x:c>
      <x:c r="F17" s="375"/>
      <x:c r="G17" s="376"/>
      <x:c r="H17" s="437" t="n">
        <x:f>F66</x:f>
        <x:v>600</x:v>
      </x:c>
      <x:c r="I17" s="438"/>
      <x:c r="J17" s="5"/>
    </x:row>
    <x:row r="18">
      <x:c r="A18" s="5"/>
      <x:c r="B18" s="377"/>
      <x:c r="C18" s="378"/>
      <x:c r="D18" s="379"/>
      <x:c r="E18" s="377"/>
      <x:c r="F18" s="378"/>
      <x:c r="G18" s="379"/>
      <x:c r="H18" s="439"/>
      <x:c r="I18" s="440"/>
      <x:c r="J18" s="5"/>
    </x:row>
    <x:row r="19">
      <x:c r="A19" s="5"/>
      <x:c r="B19" s="380"/>
      <x:c r="C19" s="381"/>
      <x:c r="D19" s="382"/>
      <x:c r="E19" s="380"/>
      <x:c r="F19" s="381"/>
      <x:c r="G19" s="382"/>
      <x:c r="H19" s="441"/>
      <x:c r="I19" s="442"/>
      <x:c r="J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</x:row>
    <x:row r="21" ht="31" customHeight="1">
      <x:c r="A21" s="5"/>
      <x:c r="B21" s="469" t="str">
        <x:f>IF(F66&gt;0,"Premier costs "&amp;TEXT(F66,"$#,##0.00")&amp;" less per year in this example.",IF(F66&lt;0,"Select costs "&amp;TEXT(-F66,"$#,##0.00")&amp;" less per year in this example.","The two plans cost the same in this example."))</x:f>
        <x:v>Premier costs $600.00 less per year in this example.</x:v>
      </x:c>
      <x:c r="C21" s="469"/>
      <x:c r="D21" s="469"/>
      <x:c r="E21" s="469"/>
      <x:c r="F21" s="469"/>
      <x:c r="G21" s="469"/>
      <x:c r="H21" s="469"/>
      <x:c r="I21" s="469"/>
      <x:c r="J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</x:row>
    <x:row r="24" ht="24" customHeight="1">
      <x:c r="A24" s="5"/>
      <x:c r="B24" s="24" t="str">
        <x:v>3. Where the total comes from</x:v>
      </x:c>
      <x:c r="C24" s="24"/>
      <x:c r="D24" s="24"/>
      <x:c r="E24" s="24"/>
      <x:c r="F24" s="24"/>
      <x:c r="G24" s="24"/>
      <x:c r="H24" s="24"/>
      <x:c r="I24" s="24"/>
      <x:c r="J24" s="5"/>
    </x:row>
    <x:row r="25" ht="25" customHeight="1">
      <x:c r="A25" s="5"/>
      <x:c r="B25" s="31" t="str">
        <x:v>YEARLY AMOUNT • USD</x:v>
      </x:c>
      <x:c r="C25" s="31"/>
      <x:c r="D25" s="31"/>
      <x:c r="E25" s="31"/>
      <x:c r="F25" s="31" t="str">
        <x:v>SELECT</x:v>
      </x:c>
      <x:c r="G25" s="31"/>
      <x:c r="H25" s="31"/>
      <x:c r="I25" s="31" t="str">
        <x:v>PREMIER</x:v>
      </x:c>
      <x:c r="J25" s="5"/>
    </x:row>
    <x:row r="26" ht="28" customHeight="1">
      <x:c r="A26" s="5"/>
      <x:c r="B26" s="474" t="str">
        <x:v>Membership</x:v>
      </x:c>
      <x:c r="C26" s="474"/>
      <x:c r="D26" s="474"/>
      <x:c r="E26" s="474"/>
      <x:c r="F26" s="480" t="n">
        <x:f>'Terms'!F8</x:f>
        <x:v>120</x:v>
      </x:c>
      <x:c r="G26" s="480"/>
      <x:c r="H26" s="480" t="n">
        <x:f>'Terms'!H8</x:f>
        <x:v>300</x:v>
      </x:c>
      <x:c r="I26" s="480"/>
      <x:c r="J26" s="5"/>
    </x:row>
    <x:row r="27" ht="28" customHeight="1">
      <x:c r="A27" s="5"/>
      <x:c r="B27" s="484" t="str">
        <x:v>Sales processing</x:v>
      </x:c>
      <x:c r="C27" s="484"/>
      <x:c r="D27" s="484"/>
      <x:c r="E27" s="484"/>
      <x:c r="F27" s="490" t="n">
        <x:f>F56*'Terms'!F9+F57*'Terms'!F10</x:f>
        <x:v>3200</x:v>
      </x:c>
      <x:c r="G27" s="490"/>
      <x:c r="H27" s="490" t="n">
        <x:f>F59+F60</x:f>
        <x:v>2700</x:v>
      </x:c>
      <x:c r="I27" s="490"/>
      <x:c r="J27" s="5"/>
    </x:row>
    <x:row r="28" ht="28" customHeight="1">
      <x:c r="A28" s="5"/>
      <x:c r="B28" s="474" t="str">
        <x:v>Everyday cashback</x:v>
      </x:c>
      <x:c r="C28" s="474"/>
      <x:c r="D28" s="474"/>
      <x:c r="E28" s="474"/>
      <x:c r="F28" s="480" t="n">
        <x:f>-F58*'Terms'!F11</x:f>
        <x:v>-120</x:v>
      </x:c>
      <x:c r="G28" s="480"/>
      <x:c r="H28" s="480" t="n">
        <x:f>-F58*'Terms'!H11</x:f>
        <x:v>-120</x:v>
      </x:c>
      <x:c r="I28" s="480"/>
      <x:c r="J28" s="5"/>
    </x:row>
    <x:row r="29" ht="28" customHeight="1">
      <x:c r="A29" s="5"/>
      <x:c r="B29" s="484" t="str">
        <x:v>Premier extra bonus</x:v>
      </x:c>
      <x:c r="C29" s="484"/>
      <x:c r="D29" s="484"/>
      <x:c r="E29" s="484"/>
      <x:c r="F29" s="490" t="n">
        <x:f>0</x:f>
        <x:v>0</x:v>
      </x:c>
      <x:c r="G29" s="490"/>
      <x:c r="H29" s="490" t="n">
        <x:f>-F63</x:f>
        <x:v>-280</x:v>
      </x:c>
      <x:c r="I29" s="490"/>
      <x:c r="J29" s="5"/>
    </x:row>
    <x:row r="30" ht="28" customHeight="1">
      <x:c r="A30" s="5"/>
      <x:c r="B30" s="494" t="str">
        <x:v>Net yearly cost</x:v>
      </x:c>
      <x:c r="C30" s="494"/>
      <x:c r="D30" s="494"/>
      <x:c r="E30" s="494"/>
      <x:c r="F30" s="500" t="n">
        <x:f>F64</x:f>
        <x:v>3200</x:v>
      </x:c>
      <x:c r="G30" s="500"/>
      <x:c r="H30" s="500" t="n">
        <x:f>F65</x:f>
        <x:v>2600</x:v>
      </x:c>
      <x:c r="I30" s="500"/>
      <x:c r="J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</x:row>
    <x:row r="34" ht="24" customHeight="1">
      <x:c r="A34" s="5"/>
      <x:c r="B34" s="24" t="str">
        <x:v>4. Premier bonus</x:v>
      </x:c>
      <x:c r="C34" s="24"/>
      <x:c r="D34" s="24"/>
      <x:c r="E34" s="24"/>
      <x:c r="F34" s="24"/>
      <x:c r="G34" s="24"/>
      <x:c r="H34" s="24"/>
      <x:c r="I34" s="24"/>
      <x:c r="J34" s="5"/>
    </x:row>
    <x:row r="35">
      <x:c r="A35" s="5"/>
      <x:c r="B35" s="310" t="str">
        <x:v>Extra bonus from purchases</x:v>
      </x:c>
      <x:c r="C35" s="310"/>
      <x:c r="D35" s="310"/>
      <x:c r="E35" s="310"/>
      <x:c r="F35" s="310"/>
      <x:c r="G35" s="310"/>
      <x:c r="H35" s="504" t="n">
        <x:f>F61</x:f>
        <x:v>120</x:v>
      </x:c>
      <x:c r="I35" s="504"/>
      <x:c r="J35" s="5"/>
    </x:row>
    <x:row r="36">
      <x:c r="A36" s="5"/>
      <x:c r="B36" s="314" t="str">
        <x:v>Bonus from provider fees</x:v>
      </x:c>
      <x:c r="C36" s="314"/>
      <x:c r="D36" s="314"/>
      <x:c r="E36" s="314"/>
      <x:c r="F36" s="314"/>
      <x:c r="G36" s="314"/>
      <x:c r="H36" s="508" t="n">
        <x:f>F62</x:f>
        <x:v>160</x:v>
      </x:c>
      <x:c r="I36" s="508"/>
      <x:c r="J36" s="5"/>
    </x:row>
    <x:row r="37">
      <x:c r="A37" s="5"/>
      <x:c r="B37" s="310" t="str">
        <x:v>Total before the yearly limit</x:v>
      </x:c>
      <x:c r="C37" s="310"/>
      <x:c r="D37" s="310"/>
      <x:c r="E37" s="310"/>
      <x:c r="F37" s="310"/>
      <x:c r="G37" s="310"/>
      <x:c r="H37" s="504" t="n">
        <x:f>F61+F62</x:f>
        <x:v>280</x:v>
      </x:c>
      <x:c r="I37" s="504"/>
      <x:c r="J37" s="5"/>
    </x:row>
    <x:row r="38">
      <x:c r="A38" s="5"/>
      <x:c r="B38" s="314" t="str">
        <x:v>Yearly limit</x:v>
      </x:c>
      <x:c r="C38" s="314"/>
      <x:c r="D38" s="314"/>
      <x:c r="E38" s="314"/>
      <x:c r="F38" s="314"/>
      <x:c r="G38" s="314"/>
      <x:c r="H38" s="508" t="n">
        <x:f>'Terms'!H14</x:f>
        <x:v>300</x:v>
      </x:c>
      <x:c r="I38" s="508"/>
      <x:c r="J38" s="5"/>
    </x:row>
    <x:row r="39">
      <x:c r="A39" s="5"/>
      <x:c r="B39" s="310" t="str">
        <x:v>Bonus paid</x:v>
      </x:c>
      <x:c r="C39" s="310"/>
      <x:c r="D39" s="310"/>
      <x:c r="E39" s="310"/>
      <x:c r="F39" s="310"/>
      <x:c r="G39" s="310"/>
      <x:c r="H39" s="504" t="n">
        <x:f>F63</x:f>
        <x:v>280</x:v>
      </x:c>
      <x:c r="I39" s="504"/>
      <x:c r="J39" s="5"/>
    </x:row>
    <x:row r="40">
      <x:c r="A40" s="5"/>
      <x:c r="B40" s="314" t="str">
        <x:v>Unused bonus room</x:v>
      </x:c>
      <x:c r="C40" s="314"/>
      <x:c r="D40" s="314"/>
      <x:c r="E40" s="314"/>
      <x:c r="F40" s="314"/>
      <x:c r="G40" s="314"/>
      <x:c r="H40" s="508" t="n">
        <x:f>'Terms'!H14-F63</x:f>
        <x:v>20</x:v>
      </x:c>
      <x:c r="I40" s="508"/>
      <x:c r="J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</x:row>
    <x:row r="43" ht="31" customHeight="1">
      <x:c r="A43" s="5"/>
      <x:c r="B43" s="294" t="str">
        <x:v>Only the extra Premier Bonus is capped. Both plans continue earning the same 0.50% everyday cashback.</x:v>
      </x:c>
      <x:c r="C43" s="294"/>
      <x:c r="D43" s="294"/>
      <x:c r="E43" s="294"/>
      <x:c r="F43" s="294"/>
      <x:c r="G43" s="294"/>
      <x:c r="H43" s="294"/>
      <x:c r="I43" s="294"/>
      <x:c r="J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</x:row>
    <x:row r="45" ht="31" customHeight="1">
      <x:c r="A45" s="5"/>
      <x:c r="B45" s="71" t="str">
        <x:v>This compares membership and processing fees minus modeled rewards. It is not your spending amount, business profit or a guaranteed quote.</x:v>
      </x:c>
      <x:c r="C45" s="71"/>
      <x:c r="D45" s="71"/>
      <x:c r="E45" s="71"/>
      <x:c r="F45" s="71"/>
      <x:c r="G45" s="71"/>
      <x:c r="H45" s="71"/>
      <x:c r="I45" s="71"/>
      <x:c r="J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</x:row>
    <x:row r="55">
      <x:c r="A55" s="5"/>
      <x:c r="B55" s="329" t="str">
        <x:v>Yearly conversion</x:v>
      </x:c>
      <x:c r="C55" s="329"/>
      <x:c r="D55" s="329"/>
      <x:c r="E55" s="329"/>
      <x:c r="F55" s="340" t="n">
        <x:f>IF(F8="Monthly",12,1)</x:f>
        <x:v>1</x:v>
      </x:c>
      <x:c r="G55" s="340"/>
      <x:c r="H55" s="340"/>
      <x:c r="I55" s="340"/>
      <x:c r="J55" s="5"/>
    </x:row>
    <x:row r="56">
      <x:c r="A56" s="5"/>
      <x:c r="B56" s="335" t="str">
        <x:v>Yearly sales</x:v>
      </x:c>
      <x:c r="C56" s="335"/>
      <x:c r="D56" s="335"/>
      <x:c r="E56" s="335"/>
      <x:c r="F56" s="342" t="n">
        <x:f>F9*F55</x:f>
        <x:v>100000</x:v>
      </x:c>
      <x:c r="G56" s="342"/>
      <x:c r="H56" s="342"/>
      <x:c r="I56" s="342"/>
      <x:c r="J56" s="5"/>
    </x:row>
    <x:row r="57">
      <x:c r="A57" s="5"/>
      <x:c r="B57" s="329" t="str">
        <x:v>Yearly payments</x:v>
      </x:c>
      <x:c r="C57" s="329"/>
      <x:c r="D57" s="329"/>
      <x:c r="E57" s="329"/>
      <x:c r="F57" s="340" t="n">
        <x:f>F10*F55</x:f>
        <x:v>1000</x:v>
      </x:c>
      <x:c r="G57" s="340"/>
      <x:c r="H57" s="340"/>
      <x:c r="I57" s="340"/>
      <x:c r="J57" s="5"/>
    </x:row>
    <x:row r="58">
      <x:c r="A58" s="5"/>
      <x:c r="B58" s="335" t="str">
        <x:v>Yearly purchases</x:v>
      </x:c>
      <x:c r="C58" s="335"/>
      <x:c r="D58" s="335"/>
      <x:c r="E58" s="335"/>
      <x:c r="F58" s="342" t="n">
        <x:f>F11*F55</x:f>
        <x:v>24000</x:v>
      </x:c>
      <x:c r="G58" s="342"/>
      <x:c r="H58" s="342"/>
      <x:c r="I58" s="342"/>
      <x:c r="J58" s="5"/>
    </x:row>
    <x:row r="59">
      <x:c r="A59" s="5"/>
      <x:c r="B59" s="329" t="str">
        <x:v>Yearly card-brand costs</x:v>
      </x:c>
      <x:c r="C59" s="329"/>
      <x:c r="D59" s="329"/>
      <x:c r="E59" s="329"/>
      <x:c r="F59" s="344" t="n">
        <x:f>F56*F12</x:f>
        <x:v>1900</x:v>
      </x:c>
      <x:c r="G59" s="344"/>
      <x:c r="H59" s="344"/>
      <x:c r="I59" s="344"/>
      <x:c r="J59" s="5"/>
    </x:row>
    <x:row r="60">
      <x:c r="A60" s="5"/>
      <x:c r="B60" s="335" t="str">
        <x:v>Premier provider fees</x:v>
      </x:c>
      <x:c r="C60" s="335"/>
      <x:c r="D60" s="335"/>
      <x:c r="E60" s="335"/>
      <x:c r="F60" s="345" t="n">
        <x:f>F56*'Terms'!H9+F57*'Terms'!H10</x:f>
        <x:v>800</x:v>
      </x:c>
      <x:c r="G60" s="345"/>
      <x:c r="H60" s="345"/>
      <x:c r="I60" s="345"/>
      <x:c r="J60" s="5"/>
    </x:row>
    <x:row r="61">
      <x:c r="A61" s="5"/>
      <x:c r="B61" s="329" t="str">
        <x:v>Extra spending bonus before cap</x:v>
      </x:c>
      <x:c r="C61" s="329"/>
      <x:c r="D61" s="329"/>
      <x:c r="E61" s="329"/>
      <x:c r="F61" s="344" t="n">
        <x:f>F58*'Terms'!H12</x:f>
        <x:v>120</x:v>
      </x:c>
      <x:c r="G61" s="344"/>
      <x:c r="H61" s="344"/>
      <x:c r="I61" s="344"/>
      <x:c r="J61" s="5"/>
    </x:row>
    <x:row r="62">
      <x:c r="A62" s="5"/>
      <x:c r="B62" s="335" t="str">
        <x:v>Provider-fee bonus before cap</x:v>
      </x:c>
      <x:c r="C62" s="335"/>
      <x:c r="D62" s="335"/>
      <x:c r="E62" s="335"/>
      <x:c r="F62" s="345" t="n">
        <x:f>F60*'Terms'!H13</x:f>
        <x:v>160</x:v>
      </x:c>
      <x:c r="G62" s="345"/>
      <x:c r="H62" s="345"/>
      <x:c r="I62" s="345"/>
      <x:c r="J62" s="5"/>
    </x:row>
    <x:row r="63">
      <x:c r="A63" s="5"/>
      <x:c r="B63" s="329" t="str">
        <x:v>Premier bonus paid</x:v>
      </x:c>
      <x:c r="C63" s="329"/>
      <x:c r="D63" s="329"/>
      <x:c r="E63" s="329"/>
      <x:c r="F63" s="344" t="n">
        <x:f>MIN('Terms'!H14,F61+F62)</x:f>
        <x:v>280</x:v>
      </x:c>
      <x:c r="G63" s="344"/>
      <x:c r="H63" s="344"/>
      <x:c r="I63" s="344"/>
      <x:c r="J63" s="5"/>
    </x:row>
    <x:row r="64">
      <x:c r="A64" s="5"/>
      <x:c r="B64" s="335" t="str">
        <x:v>Select net yearly cost</x:v>
      </x:c>
      <x:c r="C64" s="335"/>
      <x:c r="D64" s="335"/>
      <x:c r="E64" s="335"/>
      <x:c r="F64" s="345" t="n">
        <x:f>'Terms'!F8+(F56*'Terms'!F9+F57*'Terms'!F10)-(F58*'Terms'!F11)</x:f>
        <x:v>3200</x:v>
      </x:c>
      <x:c r="G64" s="345"/>
      <x:c r="H64" s="345"/>
      <x:c r="I64" s="345"/>
      <x:c r="J64" s="5"/>
    </x:row>
    <x:row r="65">
      <x:c r="A65" s="5"/>
      <x:c r="B65" s="329" t="str">
        <x:v>Premier net yearly cost</x:v>
      </x:c>
      <x:c r="C65" s="329"/>
      <x:c r="D65" s="329"/>
      <x:c r="E65" s="329"/>
      <x:c r="F65" s="344" t="n">
        <x:f>'Terms'!H8+(F59+F60)-(F58*'Terms'!H11)-F63</x:f>
        <x:v>2600</x:v>
      </x:c>
      <x:c r="G65" s="344"/>
      <x:c r="H65" s="344"/>
      <x:c r="I65" s="344"/>
      <x:c r="J65" s="5"/>
    </x:row>
    <x:row r="66">
      <x:c r="A66" s="5"/>
      <x:c r="B66" s="335" t="str">
        <x:v>Premier saving</x:v>
      </x:c>
      <x:c r="C66" s="335"/>
      <x:c r="D66" s="335"/>
      <x:c r="E66" s="335"/>
      <x:c r="F66" s="345" t="n">
        <x:f>F64-F65</x:f>
        <x:v>600</x:v>
      </x:c>
      <x:c r="G66" s="345"/>
      <x:c r="H66" s="345"/>
      <x:c r="I66" s="345"/>
      <x:c r="J66" s="5"/>
    </x:row>
    <x:row r="67">
      <x:c r="A67" s="5"/>
      <x:c r="B67" s="329" t="str">
        <x:v>Lower-cost plan</x:v>
      </x:c>
      <x:c r="C67" s="329"/>
      <x:c r="D67" s="329"/>
      <x:c r="E67" s="329"/>
      <x:c r="F67" s="332" t="str">
        <x:f>IF(F66&gt;0,"Premier",IF(F66&lt;0,"Select","Same cost"))</x:f>
        <x:v>Premier</x:v>
      </x:c>
      <x:c r="G67" s="332"/>
      <x:c r="H67" s="332"/>
      <x:c r="I67" s="332"/>
      <x:c r="J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</x:row>
  </x:sheetData>
  <x:mergeCells>
    <x:mergeCell ref="B2:I2"/>
    <x:mergeCell ref="B3:I3"/>
    <x:mergeCell ref="B5:I5"/>
    <x:mergeCell ref="B7:I7"/>
    <x:mergeCell ref="B8:E8"/>
    <x:mergeCell ref="F8:G8"/>
    <x:mergeCell ref="H8:I8"/>
    <x:mergeCell ref="B9:E9"/>
    <x:mergeCell ref="F9:G9"/>
    <x:mergeCell ref="H9:I9"/>
    <x:mergeCell ref="B10:E10"/>
    <x:mergeCell ref="F10:G10"/>
    <x:mergeCell ref="H10:I10"/>
    <x:mergeCell ref="B11:E11"/>
    <x:mergeCell ref="F11:G11"/>
    <x:mergeCell ref="H11:I11"/>
    <x:mergeCell ref="B12:E12"/>
    <x:mergeCell ref="F12:G12"/>
    <x:mergeCell ref="H12:I12"/>
    <x:mergeCell ref="B55:E55"/>
    <x:mergeCell ref="F55:I55"/>
    <x:mergeCell ref="B56:E56"/>
    <x:mergeCell ref="F56:I56"/>
    <x:mergeCell ref="B57:E57"/>
    <x:mergeCell ref="F57:I57"/>
    <x:mergeCell ref="B58:E58"/>
    <x:mergeCell ref="F58:I58"/>
    <x:mergeCell ref="B59:E59"/>
    <x:mergeCell ref="F59:I59"/>
    <x:mergeCell ref="B60:E60"/>
    <x:mergeCell ref="F60:I60"/>
    <x:mergeCell ref="B61:E61"/>
    <x:mergeCell ref="F61:I61"/>
    <x:mergeCell ref="B62:E62"/>
    <x:mergeCell ref="F62:I62"/>
    <x:mergeCell ref="B63:E63"/>
    <x:mergeCell ref="F63:I63"/>
    <x:mergeCell ref="B64:E64"/>
    <x:mergeCell ref="F64:I64"/>
    <x:mergeCell ref="B65:E65"/>
    <x:mergeCell ref="F65:I65"/>
    <x:mergeCell ref="B66:E66"/>
    <x:mergeCell ref="F66:I66"/>
    <x:mergeCell ref="B67:E67"/>
    <x:mergeCell ref="F67:I67"/>
    <x:mergeCell ref="B15:I15"/>
    <x:mergeCell ref="B16:D16"/>
    <x:mergeCell ref="E16:G16"/>
    <x:mergeCell ref="H16:I16"/>
    <x:mergeCell ref="B17:D19"/>
    <x:mergeCell ref="E17:G19"/>
    <x:mergeCell ref="H17:I19"/>
    <x:mergeCell ref="B21:I21"/>
    <x:mergeCell ref="B24:I24"/>
    <x:mergeCell ref="B26:E26"/>
    <x:mergeCell ref="F26:G26"/>
    <x:mergeCell ref="H26:I26"/>
    <x:mergeCell ref="B27:E27"/>
    <x:mergeCell ref="F27:G27"/>
    <x:mergeCell ref="H27:I27"/>
    <x:mergeCell ref="B28:E28"/>
    <x:mergeCell ref="F28:G28"/>
    <x:mergeCell ref="H28:I28"/>
    <x:mergeCell ref="B29:E29"/>
    <x:mergeCell ref="F29:G29"/>
    <x:mergeCell ref="H29:I29"/>
    <x:mergeCell ref="B30:E30"/>
    <x:mergeCell ref="F30:G30"/>
    <x:mergeCell ref="H30:I30"/>
    <x:mergeCell ref="B34:I34"/>
    <x:mergeCell ref="B35:F35"/>
    <x:mergeCell ref="H35:I35"/>
    <x:mergeCell ref="B36:F36"/>
    <x:mergeCell ref="H36:I36"/>
    <x:mergeCell ref="B37:F37"/>
    <x:mergeCell ref="H37:I37"/>
    <x:mergeCell ref="B38:F38"/>
    <x:mergeCell ref="H38:I38"/>
    <x:mergeCell ref="B39:F39"/>
    <x:mergeCell ref="H39:I39"/>
    <x:mergeCell ref="B40:F40"/>
    <x:mergeCell ref="H40:I40"/>
    <x:mergeCell ref="B43:I43"/>
    <x:mergeCell ref="B45:I45"/>
  </x:mergeCells>
  <x:dataValidations count="1">
    <x:dataValidation type="list" sqref="F8:G8">
      <x:formula1>"Annual,Monthly"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.200000047683716" hidden="0" customWidth="1"/>
    <x:col min="2" max="2" width="24" hidden="0" customWidth="1"/>
    <x:col min="3" max="3" width="22" hidden="0" customWidth="1"/>
    <x:col min="4" max="4" width="3" hidden="0" customWidth="1"/>
    <x:col min="5" max="5" width="22" hidden="0" customWidth="1"/>
    <x:col min="6" max="6" width="3" hidden="0" customWidth="1"/>
    <x:col min="7" max="7" width="22" hidden="0" customWidth="1"/>
    <x:col min="8" max="8" width="3" hidden="0" customWidth="1"/>
    <x:col min="9" max="9" width="22" hidden="0" customWidth="1"/>
    <x:col min="10" max="10" width="2.200000047683716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</x:row>
    <x:row r="2" ht="32" customHeight="1">
      <x:c r="A2" s="5"/>
      <x:c r="B2" s="12" t="str">
        <x:v>Plan terms</x:v>
      </x:c>
      <x:c r="C2" s="12"/>
      <x:c r="D2" s="12"/>
      <x:c r="E2" s="12"/>
      <x:c r="F2" s="12"/>
      <x:c r="G2" s="12"/>
      <x:c r="H2" s="12"/>
      <x:c r="I2" s="12"/>
      <x:c r="J2" s="5"/>
    </x:row>
    <x:row r="3" ht="24" customHeight="1">
      <x:c r="A3" s="5"/>
      <x:c r="B3" s="18" t="str">
        <x:v>Reference terms used by the calculator.</x:v>
      </x:c>
      <x:c r="C3" s="18"/>
      <x:c r="D3" s="18"/>
      <x:c r="E3" s="18"/>
      <x:c r="F3" s="18"/>
      <x:c r="G3" s="18"/>
      <x:c r="H3" s="18"/>
      <x:c r="I3" s="18"/>
      <x:c r="J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A5" s="5"/>
      <x:c r="B5" s="5"/>
      <x:c r="C5" s="5"/>
      <x:c r="D5" s="5"/>
      <x:c r="E5" s="5"/>
      <x:c r="F5" s="5"/>
      <x:c r="G5" s="5"/>
      <x:c r="H5" s="5"/>
      <x:c r="I5" s="5"/>
      <x:c r="J5" s="5"/>
    </x:row>
    <x:row r="6" ht="24" customHeight="1">
      <x:c r="A6" s="5"/>
      <x:c r="B6" s="24" t="str">
        <x:v>Membership and rewards</x:v>
      </x:c>
      <x:c r="C6" s="24"/>
      <x:c r="D6" s="24"/>
      <x:c r="E6" s="24"/>
      <x:c r="F6" s="24"/>
      <x:c r="G6" s="24"/>
      <x:c r="H6" s="24"/>
      <x:c r="I6" s="24"/>
      <x:c r="J6" s="5"/>
    </x:row>
    <x:row r="7" ht="25" customHeight="1">
      <x:c r="A7" s="5"/>
      <x:c r="B7" s="31" t="str">
        <x:v>TERM</x:v>
      </x:c>
      <x:c r="C7" s="31"/>
      <x:c r="D7" s="31"/>
      <x:c r="E7" s="31"/>
      <x:c r="F7" s="31" t="str">
        <x:v>SELECT</x:v>
      </x:c>
      <x:c r="G7" s="31"/>
      <x:c r="H7" s="31"/>
      <x:c r="I7" s="31" t="str">
        <x:v>PREMIER</x:v>
      </x:c>
      <x:c r="J7" s="5"/>
    </x:row>
    <x:row r="8" ht="25" customHeight="1">
      <x:c r="A8" s="5"/>
      <x:c r="B8" s="37" t="str">
        <x:v>Annual membership</x:v>
      </x:c>
      <x:c r="C8" s="37"/>
      <x:c r="D8" s="37"/>
      <x:c r="E8" s="37"/>
      <x:c r="F8" s="42" t="n">
        <x:v>120</x:v>
      </x:c>
      <x:c r="G8" s="42"/>
      <x:c r="H8" s="42" t="n">
        <x:v>300</x:v>
      </x:c>
      <x:c r="I8" s="42"/>
      <x:c r="J8" s="5"/>
    </x:row>
    <x:row r="9" ht="25" customHeight="1">
      <x:c r="A9" s="5"/>
      <x:c r="B9" s="46" t="str">
        <x:v>Online processing rate</x:v>
      </x:c>
      <x:c r="C9" s="46"/>
      <x:c r="D9" s="46"/>
      <x:c r="E9" s="46"/>
      <x:c r="F9" s="52" t="n">
        <x:v>0.029</x:v>
      </x:c>
      <x:c r="G9" s="52"/>
      <x:c r="H9" s="52" t="n">
        <x:v>0.005</x:v>
      </x:c>
      <x:c r="I9" s="52"/>
      <x:c r="J9" s="5"/>
    </x:row>
    <x:row r="10" ht="25" customHeight="1">
      <x:c r="A10" s="5"/>
      <x:c r="B10" s="37" t="str">
        <x:v>Fee per customer payment</x:v>
      </x:c>
      <x:c r="C10" s="37"/>
      <x:c r="D10" s="37"/>
      <x:c r="E10" s="37"/>
      <x:c r="F10" s="56" t="n">
        <x:v>0.3</x:v>
      </x:c>
      <x:c r="G10" s="56"/>
      <x:c r="H10" s="56" t="n">
        <x:v>0.3</x:v>
      </x:c>
      <x:c r="I10" s="56"/>
      <x:c r="J10" s="5"/>
    </x:row>
    <x:row r="11" ht="25" customHeight="1">
      <x:c r="A11" s="5"/>
      <x:c r="B11" s="46" t="str">
        <x:v>Everyday cashback</x:v>
      </x:c>
      <x:c r="C11" s="46"/>
      <x:c r="D11" s="46"/>
      <x:c r="E11" s="46"/>
      <x:c r="F11" s="52" t="n">
        <x:v>0.005</x:v>
      </x:c>
      <x:c r="G11" s="52"/>
      <x:c r="H11" s="52" t="n">
        <x:v>0.005</x:v>
      </x:c>
      <x:c r="I11" s="52"/>
      <x:c r="J11" s="5"/>
    </x:row>
    <x:row r="12" ht="25" customHeight="1">
      <x:c r="A12" s="5"/>
      <x:c r="B12" s="37" t="str">
        <x:v>Extra Premier spending bonus</x:v>
      </x:c>
      <x:c r="C12" s="37"/>
      <x:c r="D12" s="37"/>
      <x:c r="E12" s="37"/>
      <x:c r="F12" s="60" t="n">
        <x:v>0</x:v>
      </x:c>
      <x:c r="G12" s="60"/>
      <x:c r="H12" s="60" t="n">
        <x:v>0.005</x:v>
      </x:c>
      <x:c r="I12" s="60"/>
      <x:c r="J12" s="5"/>
    </x:row>
    <x:row r="13" ht="25" customHeight="1">
      <x:c r="A13" s="5"/>
      <x:c r="B13" s="46" t="str">
        <x:v>Premier bonus on provider fees</x:v>
      </x:c>
      <x:c r="C13" s="46"/>
      <x:c r="D13" s="46"/>
      <x:c r="E13" s="46"/>
      <x:c r="F13" s="52" t="n">
        <x:v>0</x:v>
      </x:c>
      <x:c r="G13" s="52"/>
      <x:c r="H13" s="52" t="n">
        <x:v>0.2</x:v>
      </x:c>
      <x:c r="I13" s="52"/>
      <x:c r="J13" s="5"/>
    </x:row>
    <x:row r="14" ht="25" customHeight="1">
      <x:c r="A14" s="5"/>
      <x:c r="B14" s="37" t="str">
        <x:v>Yearly Premier bonus limit</x:v>
      </x:c>
      <x:c r="C14" s="37"/>
      <x:c r="D14" s="37"/>
      <x:c r="E14" s="37"/>
      <x:c r="F14" s="42" t="n">
        <x:v>0</x:v>
      </x:c>
      <x:c r="G14" s="42"/>
      <x:c r="H14" s="42" t="n">
        <x:v>300</x:v>
      </x:c>
      <x:c r="I14" s="42"/>
      <x:c r="J14" s="5"/>
    </x:row>
    <x:row r="15" ht="25" customHeight="1">
      <x:c r="A15" s="5"/>
      <x:c r="B15" s="46" t="str">
        <x:v>Months in a year</x:v>
      </x:c>
      <x:c r="C15" s="46"/>
      <x:c r="D15" s="46"/>
      <x:c r="E15" s="46"/>
      <x:c r="F15" s="64" t="n">
        <x:v>12</x:v>
      </x:c>
      <x:c r="G15" s="64"/>
      <x:c r="H15" s="64" t="n">
        <x:v>12</x:v>
      </x:c>
      <x:c r="I15" s="64"/>
      <x:c r="J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</x:row>
    <x:row r="18" ht="31" customHeight="1">
      <x:c r="A18" s="5"/>
      <x:c r="B18" s="67" t="str">
        <x:v>Select bundles card-brand costs into 2.90% + $0.30. Premier adds actual card-brand costs to 0.50% + $0.30.</x:v>
      </x:c>
      <x:c r="C18" s="67"/>
      <x:c r="D18" s="67"/>
      <x:c r="E18" s="67"/>
      <x:c r="F18" s="67"/>
      <x:c r="G18" s="67"/>
      <x:c r="H18" s="67"/>
      <x:c r="I18" s="67"/>
      <x:c r="J18" s="5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</x:row>
    <x:row r="20" ht="31" customHeight="1">
      <x:c r="A20" s="5"/>
      <x:c r="B20" s="71" t="str">
        <x:v>Both plans earn 0.50% everyday cashback. Premier adds two extra bonuses that share one $300 yearly limit.</x:v>
      </x:c>
      <x:c r="C20" s="71"/>
      <x:c r="D20" s="71"/>
      <x:c r="E20" s="71"/>
      <x:c r="F20" s="71"/>
      <x:c r="G20" s="71"/>
      <x:c r="H20" s="71"/>
      <x:c r="I20" s="71"/>
      <x:c r="J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</x:row>
    <x:row r="22" ht="31" customHeight="1">
      <x:c r="A22" s="5"/>
      <x:c r="B22" s="67" t="str">
        <x:v>Approval for payment acceptance and spending access is separate from membership.</x:v>
      </x:c>
      <x:c r="C22" s="67"/>
      <x:c r="D22" s="67"/>
      <x:c r="E22" s="67"/>
      <x:c r="F22" s="67"/>
      <x:c r="G22" s="67"/>
      <x:c r="H22" s="67"/>
      <x:c r="I22" s="67"/>
      <x:c r="J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</x:row>
  </x:sheetData>
  <x:mergeCells>
    <x:mergeCell ref="B2:I2"/>
    <x:mergeCell ref="B3:I3"/>
    <x:mergeCell ref="B6:I6"/>
    <x:mergeCell ref="B8:E8"/>
    <x:mergeCell ref="F8:G8"/>
    <x:mergeCell ref="H8:I8"/>
    <x:mergeCell ref="B9:E9"/>
    <x:mergeCell ref="F9:G9"/>
    <x:mergeCell ref="H9:I9"/>
    <x:mergeCell ref="B10:E10"/>
    <x:mergeCell ref="F10:G10"/>
    <x:mergeCell ref="H10:I10"/>
    <x:mergeCell ref="B11:E11"/>
    <x:mergeCell ref="F11:G11"/>
    <x:mergeCell ref="H11:I11"/>
    <x:mergeCell ref="B12:E12"/>
    <x:mergeCell ref="F12:G12"/>
    <x:mergeCell ref="H12:I12"/>
    <x:mergeCell ref="B13:E13"/>
    <x:mergeCell ref="F13:G13"/>
    <x:mergeCell ref="H13:I13"/>
    <x:mergeCell ref="B14:E14"/>
    <x:mergeCell ref="F14:G14"/>
    <x:mergeCell ref="H14:I14"/>
    <x:mergeCell ref="B15:E15"/>
    <x:mergeCell ref="F15:G15"/>
    <x:mergeCell ref="H15:I15"/>
    <x:mergeCell ref="B18:I18"/>
    <x:mergeCell ref="B20:I20"/>
    <x:mergeCell ref="B22:I22"/>
  </x:mergeCells>
  <x:pageMargins left="0.7" right="0.7" top="0.75" bottom="0.75" header="0.3" footer="0.3"/>
</x:worksheet>
</file>