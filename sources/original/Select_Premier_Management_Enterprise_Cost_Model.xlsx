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d25b1796a4e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and Center" sheetId="1" r:id="R1fd6187ee6474db6"/>
    <x:sheet xmlns:r="http://schemas.openxmlformats.org/officeDocument/2006/relationships" name="Value Streams" sheetId="2" r:id="R9c0900d731b94b24"/>
    <x:sheet xmlns:r="http://schemas.openxmlformats.org/officeDocument/2006/relationships" name="Customer Lifecycle" sheetId="3" r:id="R600b481add7a4a37"/>
    <x:sheet xmlns:r="http://schemas.openxmlformats.org/officeDocument/2006/relationships" name="Service Portfolio" sheetId="4" r:id="Rb68036cbcdab4930"/>
    <x:sheet xmlns:r="http://schemas.openxmlformats.org/officeDocument/2006/relationships" name="Operations" sheetId="5" r:id="R25135aeb4cc84114"/>
    <x:sheet xmlns:r="http://schemas.openxmlformats.org/officeDocument/2006/relationships" name="Economics" sheetId="6" r:id="R168c3b483cf04c95"/>
    <x:sheet xmlns:r="http://schemas.openxmlformats.org/officeDocument/2006/relationships" name="PayFac Detail" sheetId="7" r:id="Rc79ea656b15d4b5c"/>
    <x:sheet xmlns:r="http://schemas.openxmlformats.org/officeDocument/2006/relationships" name="Issuing Detail" sheetId="8" r:id="Rb6e8fa792b894e75"/>
    <x:sheet xmlns:r="http://schemas.openxmlformats.org/officeDocument/2006/relationships" name="Data Model" sheetId="9" r:id="R73b5557b458645dc"/>
    <x:sheet xmlns:r="http://schemas.openxmlformats.org/officeDocument/2006/relationships" name="Inputs" sheetId="10" r:id="Rc23bfcd8a7384940"/>
    <x:sheet xmlns:r="http://schemas.openxmlformats.org/officeDocument/2006/relationships" name="Model Engine" sheetId="11" r:id="R94c197b593f34bb7"/>
    <x:sheet xmlns:r="http://schemas.openxmlformats.org/officeDocument/2006/relationships" name="Research Basis" sheetId="12" r:id="R4d8d302bad8a4c04"/>
    <x:sheet xmlns:r="http://schemas.openxmlformats.org/officeDocument/2006/relationships" name="Cost Drivers" sheetId="13" r:id="Rfa519b619c774f56"/>
    <x:sheet xmlns:r="http://schemas.openxmlformats.org/officeDocument/2006/relationships" name="Rate Cards" sheetId="14" r:id="Rc1314cff17104a76"/>
    <x:sheet xmlns:r="http://schemas.openxmlformats.org/officeDocument/2006/relationships" name="Cost Center" sheetId="15" r:id="Rf31f8701917d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[Red]($#,##0);-"/>
    <x:numFmt numFmtId="201" formatCode="0.00%;[Red](0.00%);-"/>
    <x:numFmt numFmtId="202" formatCode="$#,##0.00;[Red]($#,##0.00);-"/>
    <x:numFmt numFmtId="203" formatCode="#,##0;[Red](#,##0);-"/>
    <x:numFmt numFmtId="204" formatCode="@"/>
  </x:numFmts>
  <x:fonts count="12">
    <x:font>
      <x:sz val="11"/>
      <x:name val="Carlito"/>
    </x:font>
    <x:font>
      <x:sz val="11"/>
      <x:color rgb="FF17324D"/>
      <x:name val="Carlito"/>
    </x:font>
    <x:font>
      <x:b/>
      <x:sz val="11"/>
      <x:color rgb="FFFFFFFF"/>
      <x:name val="Carlito"/>
    </x:font>
    <x:font>
      <x:i/>
      <x:sz val="11"/>
      <x:color rgb="FF147D73"/>
      <x:name val="Carlito"/>
    </x:font>
    <x:font>
      <x:b/>
      <x:sz val="11"/>
      <x:color rgb="FF0000FF"/>
      <x:name val="Carlito"/>
    </x:font>
    <x:font>
      <x:b/>
      <x:sz val="11"/>
      <x:color rgb="FF008000"/>
      <x:name val="Carlito"/>
    </x:font>
    <x:font>
      <x:b/>
      <x:sz val="11"/>
      <x:color rgb="FF147D73"/>
      <x:name val="Carlito"/>
    </x:font>
    <x:font>
      <x:b/>
      <x:sz val="11"/>
      <x:color rgb="FF17324D"/>
      <x:name val="Carlito"/>
    </x:font>
    <x:font>
      <x:sz val="11"/>
      <x:color rgb="FF17324D"/>
      <x:name val="Carlito"/>
    </x:font>
    <x:font>
      <x:sz val="11"/>
      <x:color rgb="FF008000"/>
      <x:name val="Carlito"/>
    </x:font>
    <x:font>
      <x:sz val="11"/>
      <x:color rgb="FFC00000"/>
      <x:name val="Carlito"/>
    </x:font>
    <x:font>
      <x:sz val="11"/>
      <x:color rgb="FF17324D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47D73"/>
      </x:patternFill>
    </x:fill>
    <x:fill>
      <x:patternFill patternType="solid">
        <x:fgColor rgb="FFEAF5F2"/>
      </x:patternFill>
    </x:fill>
    <x:fill>
      <x:patternFill patternType="solid">
        <x:fgColor rgb="FFF8F1DE"/>
      </x:patternFill>
    </x:fill>
    <x:fill>
      <x:patternFill patternType="solid">
        <x:fgColor rgb="FF17324D"/>
      </x:patternFill>
    </x:fill>
    <x:fill>
      <x:patternFill patternType="solid">
        <x:fgColor rgb="FF0F5F58"/>
      </x:patternFill>
    </x:fill>
    <x:fill>
      <x:patternFill patternType="solid">
        <x:fgColor rgb="FFE8F1FF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0F5F58"/>
      </x:patternFill>
    </x:fill>
    <x:fill>
      <x:patternFill patternType="solid">
        <x:fgColor rgb="FFFFFFFF"/>
      </x:patternFill>
    </x:fill>
    <x:fill>
      <x:patternFill patternType="solid">
        <x:fgColor rgb="FF147D73"/>
      </x:patternFill>
    </x:fill>
    <x:fill>
      <x:patternFill patternType="solid">
        <x:fgColor rgb="FFEAF5F2"/>
      </x:patternFill>
    </x:fill>
    <x:fill>
      <x:patternFill patternType="solid">
        <x:fgColor rgb="FFF8F1DE"/>
      </x:patternFill>
    </x:fill>
    <x:fill>
      <x:patternFill patternType="solid">
        <x:fgColor rgb="FF17324D"/>
      </x:patternFill>
    </x:fill>
    <x:fill>
      <x:patternFill patternType="solid">
        <x:fgColor rgb="FF0F5F58"/>
      </x:patternFill>
    </x:fill>
    <x:fill>
      <x:patternFill patternType="solid">
        <x:fgColor rgb="FFE8F1FF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2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</x:borders>
  <x:cellStyleXfs count="1">
    <x:xf numFmtId="0" fontId="0" fillId="0" borderId="0"/>
  </x:cellStyleXfs>
  <x:cellXfs count="7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horizontal="center" vertical="top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200" fontId="4" fillId="8" borderId="2" xfId="0" applyNumberFormat="1" applyFont="1" applyFill="1" applyBorder="1" applyAlignment="1">
      <x:alignment vertical="center" wrapText="1"/>
    </x:xf>
    <x:xf numFmtId="200" fontId="4" fillId="8" borderId="2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4" fillId="8" borderId="3" xfId="0" applyNumberFormat="1" applyFont="1" applyFill="1" applyBorder="1" applyAlignment="1">
      <x:alignment vertical="center" wrapText="1"/>
    </x:xf>
    <x:xf numFmtId="200" fontId="4" fillId="8" borderId="3" xfId="0" applyNumberFormat="1" applyFont="1" applyFill="1" applyBorder="1" applyAlignment="1">
      <x:alignment vertical="center" wrapText="1"/>
    </x:xf>
    <x:xf numFmtId="200" fontId="4" fillId="8" borderId="3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9" borderId="2" xfId="0" applyNumberFormat="1" applyFont="1" applyFill="1" applyBorder="1" applyAlignment="1">
      <x:alignment vertical="top" wrapText="1"/>
    </x:xf>
    <x:xf numFmtId="0" fontId="1" fillId="9" borderId="2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top" wrapText="1"/>
    </x:xf>
    <x:xf numFmtId="0" fontId="1" fillId="9" borderId="3" xfId="0" applyNumberFormat="1" applyFont="1" applyFill="1" applyBorder="1" applyAlignment="1">
      <x:alignment vertical="top" wrapText="1"/>
    </x:xf>
    <x:xf numFmtId="0" fontId="1" fillId="9" borderId="3" xfId="0" applyNumberFormat="1" applyFont="1" applyFill="1" applyBorder="1" applyAlignment="1">
      <x:alignment vertical="center" wrapText="1"/>
    </x:xf>
    <x:xf numFmtId="201" fontId="4" fillId="8" borderId="2" xfId="0" applyNumberFormat="1" applyFont="1" applyFill="1" applyBorder="1" applyAlignment="1">
      <x:alignment vertical="center" wrapText="1"/>
    </x:xf>
    <x:xf numFmtId="201" fontId="4" fillId="8" borderId="2" xfId="0" applyNumberFormat="1" applyFont="1" applyFill="1" applyBorder="1" applyAlignment="1">
      <x:alignment horizontal="center" vertical="center" wrapText="1"/>
    </x:xf>
    <x:xf numFmtId="201" fontId="4" fillId="8" borderId="3" xfId="0" applyNumberFormat="1" applyFont="1" applyFill="1" applyBorder="1" applyAlignment="1">
      <x:alignment vertical="center" wrapText="1"/>
    </x:xf>
    <x:xf numFmtId="201" fontId="4" fillId="8" borderId="3" xfId="0" applyNumberFormat="1" applyFont="1" applyFill="1" applyBorder="1" applyAlignment="1">
      <x:alignment horizontal="center" vertical="center" wrapText="1"/>
    </x:xf>
    <x:xf numFmtId="202" fontId="4" fillId="8" borderId="2" xfId="0" applyNumberFormat="1" applyFont="1" applyFill="1" applyBorder="1" applyAlignment="1">
      <x:alignment vertical="center" wrapText="1"/>
    </x:xf>
    <x:xf numFmtId="202" fontId="4" fillId="8" borderId="2" xfId="0" applyNumberFormat="1" applyFont="1" applyFill="1" applyBorder="1" applyAlignment="1">
      <x:alignment horizontal="center" vertical="center" wrapText="1"/>
    </x:xf>
    <x:xf numFmtId="202" fontId="4" fillId="8" borderId="3" xfId="0" applyNumberFormat="1" applyFont="1" applyFill="1" applyBorder="1" applyAlignment="1">
      <x:alignment vertical="center" wrapText="1"/>
    </x:xf>
    <x:xf numFmtId="202" fontId="4" fillId="8" borderId="3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201" fontId="4" fillId="8" borderId="0" xfId="0" applyNumberFormat="1" applyFont="1" applyFill="1" applyBorder="1" applyAlignment="1">
      <x:alignment vertical="center" wrapText="1"/>
    </x:xf>
    <x:xf numFmtId="201" fontId="4" fillId="8" borderId="0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201" fontId="4" fillId="8" borderId="1" xfId="0" applyNumberFormat="1" applyFont="1" applyFill="1" applyBorder="1" applyAlignment="1">
      <x:alignment vertical="center" wrapText="1"/>
    </x:xf>
    <x:xf numFmtId="201" fontId="4" fillId="8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202" fontId="4" fillId="8" borderId="0" xfId="0" applyNumberFormat="1" applyFont="1" applyFill="1" applyBorder="1" applyAlignment="1">
      <x:alignment vertical="center" wrapText="1"/>
    </x:xf>
    <x:xf numFmtId="202" fontId="4" fillId="8" borderId="0" xfId="0" applyNumberFormat="1" applyFont="1" applyFill="1" applyBorder="1" applyAlignment="1">
      <x:alignment horizontal="center" vertical="center" wrapText="1"/>
    </x:xf>
    <x:xf numFmtId="202" fontId="4" fillId="8" borderId="1" xfId="0" applyNumberFormat="1" applyFont="1" applyFill="1" applyBorder="1" applyAlignment="1">
      <x:alignment vertical="center" wrapText="1"/>
    </x:xf>
    <x:xf numFmtId="202" fontId="4" fillId="8" borderId="1" xfId="0" applyNumberFormat="1" applyFont="1" applyFill="1" applyBorder="1" applyAlignment="1">
      <x:alignment horizontal="center"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horizontal="center" vertical="center" wrapText="1"/>
    </x:xf>
    <x:xf numFmtId="200" fontId="4" fillId="8" borderId="1" xfId="0" applyNumberFormat="1" applyFont="1" applyFill="1" applyBorder="1" applyAlignment="1">
      <x:alignment vertical="center" wrapText="1"/>
    </x:xf>
    <x:xf numFmtId="200" fontId="4" fillId="8" borderId="1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201" fontId="5" fillId="9" borderId="0" xfId="0" applyNumberFormat="1" applyFont="1" applyFill="1" applyBorder="1" applyAlignment="1">
      <x:alignment vertical="center" wrapText="1"/>
    </x:xf>
    <x:xf numFmtId="201" fontId="5" fillId="9" borderId="0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201" fontId="5" fillId="9" borderId="1" xfId="0" applyNumberFormat="1" applyFont="1" applyFill="1" applyBorder="1" applyAlignment="1">
      <x:alignment vertical="center" wrapText="1"/>
    </x:xf>
    <x:xf numFmtId="201" fontId="5" fillId="9" borderId="1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vertical="top" wrapText="1"/>
    </x:xf>
    <x:xf numFmtId="0" fontId="1" fillId="10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9" borderId="2" xfId="0" applyNumberFormat="1" applyFont="1" applyFill="1" applyBorder="1" applyAlignment="1">
      <x:alignment horizontal="center" vertical="center" wrapText="1"/>
    </x:xf>
    <x:xf numFmtId="0" fontId="1" fillId="9" borderId="3" xfId="0" applyNumberFormat="1" applyFont="1" applyFill="1" applyBorder="1" applyAlignment="1">
      <x:alignment horizontal="center" vertical="center" wrapText="1"/>
    </x:xf>
    <x:xf numFmtId="203" fontId="1" fillId="2" borderId="2" xfId="0" applyNumberFormat="1" applyFont="1" applyFill="1" applyBorder="1" applyAlignment="1">
      <x:alignment horizontal="center" vertical="center" wrapText="1"/>
    </x:xf>
    <x:xf numFmtId="203" fontId="1" fillId="2" borderId="3" xfId="0" applyNumberFormat="1" applyFont="1" applyFill="1" applyBorder="1" applyAlignment="1">
      <x:alignment horizontal="center" vertical="center" wrapText="1"/>
    </x:xf>
    <x:xf numFmtId="203" fontId="1" fillId="9" borderId="2" xfId="0" applyNumberFormat="1" applyFont="1" applyFill="1" applyBorder="1" applyAlignment="1">
      <x:alignment horizontal="center" vertical="center" wrapText="1"/>
    </x:xf>
    <x:xf numFmtId="203" fontId="1" fillId="9" borderId="3" xfId="0" applyNumberFormat="1" applyFont="1" applyFill="1" applyBorder="1" applyAlignment="1">
      <x:alignment horizontal="center" vertical="center" wrapText="1"/>
    </x:xf>
    <x:xf numFmtId="200" fontId="1" fillId="2" borderId="2" xfId="0" applyNumberFormat="1" applyFont="1" applyFill="1" applyBorder="1" applyAlignment="1">
      <x:alignment horizontal="center" vertical="center" wrapText="1"/>
    </x:xf>
    <x:xf numFmtId="200" fontId="1" fillId="2" borderId="3" xfId="0" applyNumberFormat="1" applyFont="1" applyFill="1" applyBorder="1" applyAlignment="1">
      <x:alignment horizontal="center" vertical="center" wrapText="1"/>
    </x:xf>
    <x:xf numFmtId="200" fontId="1" fillId="9" borderId="2" xfId="0" applyNumberFormat="1" applyFont="1" applyFill="1" applyBorder="1" applyAlignment="1">
      <x:alignment horizontal="center" vertical="center" wrapText="1"/>
    </x:xf>
    <x:xf numFmtId="200" fontId="1" fillId="9" borderId="3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1" borderId="1" xfId="0" applyNumberFormat="1" applyFont="1" applyFill="1" applyBorder="1" applyAlignment="1">
      <x:alignment vertical="top" wrapText="1"/>
    </x:xf>
    <x:xf numFmtId="0" fontId="1" fillId="11" borderId="1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top" wrapText="1"/>
    </x:xf>
    <x:xf numFmtId="0" fontId="6" fillId="9" borderId="3" xfId="0" applyNumberFormat="1" applyFont="1" applyFill="1" applyBorder="1" applyAlignment="1">
      <x:alignment vertical="top" wrapText="1"/>
    </x:xf>
    <x:xf numFmtId="0" fontId="6" fillId="2" borderId="2" xfId="0" applyNumberFormat="1" applyFont="1" applyFill="1" applyBorder="1" applyAlignment="1">
      <x:alignment vertical="top" wrapText="1"/>
    </x:xf>
    <x:xf numFmtId="0" fontId="6" fillId="2" borderId="3" xfId="0" applyNumberFormat="1" applyFont="1" applyFill="1" applyBorder="1" applyAlignment="1">
      <x:alignment vertical="top" wrapText="1"/>
    </x:xf>
    <x:xf numFmtId="203" fontId="4" fillId="8" borderId="0" xfId="0" applyNumberFormat="1" applyFont="1" applyFill="1" applyBorder="1" applyAlignment="1">
      <x:alignment horizontal="center" vertical="center" wrapText="1"/>
    </x:xf>
    <x:xf numFmtId="203" fontId="4" fillId="8" borderId="1" xfId="0" applyNumberFormat="1" applyFont="1" applyFill="1" applyBorder="1" applyAlignment="1">
      <x:alignment horizontal="center" vertical="center" wrapText="1"/>
    </x:xf>
    <x:xf numFmtId="0" fontId="7" fillId="11" borderId="0" xfId="0" applyNumberFormat="1" applyFont="1" applyFill="1" applyBorder="1" applyAlignment="1">
      <x:alignment vertical="top" wrapText="1"/>
    </x:xf>
    <x:xf numFmtId="0" fontId="7" fillId="11" borderId="4" xfId="0" applyNumberFormat="1" applyFont="1" applyFill="1" applyBorder="1" applyAlignment="1">
      <x:alignment vertical="top" wrapText="1"/>
    </x:xf>
    <x:xf numFmtId="0" fontId="7" fillId="11" borderId="5" xfId="0" applyNumberFormat="1" applyFont="1" applyFill="1" applyBorder="1" applyAlignment="1">
      <x:alignment vertical="top" wrapText="1"/>
    </x:xf>
    <x:xf numFmtId="0" fontId="7" fillId="11" borderId="6" xfId="0" applyNumberFormat="1" applyFont="1" applyFill="1" applyBorder="1" applyAlignment="1">
      <x:alignment vertical="top" wrapText="1"/>
    </x:xf>
    <x:xf numFmtId="0" fontId="7" fillId="11" borderId="7" xfId="0" applyNumberFormat="1" applyFont="1" applyFill="1" applyBorder="1" applyAlignment="1">
      <x:alignment vertical="top" wrapText="1"/>
    </x:xf>
    <x:xf numFmtId="0" fontId="7" fillId="11" borderId="8" xfId="0" applyNumberFormat="1" applyFont="1" applyFill="1" applyBorder="1" applyAlignment="1">
      <x:alignment vertical="top" wrapText="1"/>
    </x:xf>
    <x:xf numFmtId="0" fontId="7" fillId="11" borderId="9" xfId="0" applyNumberFormat="1" applyFont="1" applyFill="1" applyBorder="1" applyAlignment="1">
      <x:alignment vertical="top" wrapText="1"/>
    </x:xf>
    <x:xf numFmtId="200" fontId="7" fillId="11" borderId="4" xfId="0" applyNumberFormat="1" applyFont="1" applyFill="1" applyBorder="1" applyAlignment="1">
      <x:alignment vertical="top" wrapText="1"/>
    </x:xf>
    <x:xf numFmtId="200" fontId="7" fillId="11" borderId="5" xfId="0" applyNumberFormat="1" applyFont="1" applyFill="1" applyBorder="1" applyAlignment="1">
      <x:alignment vertical="top" wrapText="1"/>
    </x:xf>
    <x:xf numFmtId="200" fontId="7" fillId="11" borderId="6" xfId="0" applyNumberFormat="1" applyFont="1" applyFill="1" applyBorder="1" applyAlignment="1">
      <x:alignment vertical="top" wrapText="1"/>
    </x:xf>
    <x:xf numFmtId="200" fontId="7" fillId="11" borderId="7" xfId="0" applyNumberFormat="1" applyFont="1" applyFill="1" applyBorder="1" applyAlignment="1">
      <x:alignment vertical="top" wrapText="1"/>
    </x:xf>
    <x:xf numFmtId="200" fontId="7" fillId="11" borderId="8" xfId="0" applyNumberFormat="1" applyFont="1" applyFill="1" applyBorder="1" applyAlignment="1">
      <x:alignment vertical="top" wrapText="1"/>
    </x:xf>
    <x:xf numFmtId="200" fontId="7" fillId="11" borderId="9" xfId="0" applyNumberFormat="1" applyFont="1" applyFill="1" applyBorder="1" applyAlignment="1">
      <x:alignment vertical="top" wrapText="1"/>
    </x:xf>
    <x:xf numFmtId="200" fontId="7" fillId="11" borderId="4" xfId="0" applyNumberFormat="1" applyFont="1" applyFill="1" applyBorder="1" applyAlignment="1">
      <x:alignment horizontal="center" vertical="top" wrapText="1"/>
    </x:xf>
    <x:xf numFmtId="200" fontId="7" fillId="11" borderId="5" xfId="0" applyNumberFormat="1" applyFont="1" applyFill="1" applyBorder="1" applyAlignment="1">
      <x:alignment horizontal="center" vertical="top" wrapText="1"/>
    </x:xf>
    <x:xf numFmtId="200" fontId="7" fillId="11" borderId="6" xfId="0" applyNumberFormat="1" applyFont="1" applyFill="1" applyBorder="1" applyAlignment="1">
      <x:alignment horizontal="center" vertical="top" wrapText="1"/>
    </x:xf>
    <x:xf numFmtId="200" fontId="7" fillId="11" borderId="7" xfId="0" applyNumberFormat="1" applyFont="1" applyFill="1" applyBorder="1" applyAlignment="1">
      <x:alignment horizontal="center" vertical="top" wrapText="1"/>
    </x:xf>
    <x:xf numFmtId="200" fontId="7" fillId="11" borderId="8" xfId="0" applyNumberFormat="1" applyFont="1" applyFill="1" applyBorder="1" applyAlignment="1">
      <x:alignment horizontal="center" vertical="top" wrapText="1"/>
    </x:xf>
    <x:xf numFmtId="200" fontId="7" fillId="11" borderId="9" xfId="0" applyNumberFormat="1" applyFont="1" applyFill="1" applyBorder="1" applyAlignment="1">
      <x:alignment horizontal="center" vertical="top" wrapText="1"/>
    </x:xf>
    <x:xf numFmtId="200" fontId="7" fillId="11" borderId="4" xfId="0" applyNumberFormat="1" applyFont="1" applyFill="1" applyBorder="1" applyAlignment="1">
      <x:alignment horizontal="center" vertical="center" wrapText="1"/>
    </x:xf>
    <x:xf numFmtId="200" fontId="7" fillId="11" borderId="5" xfId="0" applyNumberFormat="1" applyFont="1" applyFill="1" applyBorder="1" applyAlignment="1">
      <x:alignment horizontal="center" vertical="center" wrapText="1"/>
    </x:xf>
    <x:xf numFmtId="200" fontId="7" fillId="11" borderId="6" xfId="0" applyNumberFormat="1" applyFont="1" applyFill="1" applyBorder="1" applyAlignment="1">
      <x:alignment horizontal="center" vertical="center" wrapText="1"/>
    </x:xf>
    <x:xf numFmtId="200" fontId="7" fillId="11" borderId="7" xfId="0" applyNumberFormat="1" applyFont="1" applyFill="1" applyBorder="1" applyAlignment="1">
      <x:alignment horizontal="center" vertical="center" wrapText="1"/>
    </x:xf>
    <x:xf numFmtId="200" fontId="7" fillId="11" borderId="8" xfId="0" applyNumberFormat="1" applyFont="1" applyFill="1" applyBorder="1" applyAlignment="1">
      <x:alignment horizontal="center" vertical="center" wrapText="1"/>
    </x:xf>
    <x:xf numFmtId="200" fontId="7" fillId="11" borderId="9" xfId="0" applyNumberFormat="1" applyFont="1" applyFill="1" applyBorder="1" applyAlignment="1">
      <x:alignment horizontal="center" vertical="center" wrapText="1"/>
    </x:xf>
    <x:xf numFmtId="0" fontId="7" fillId="11" borderId="1" xfId="0" applyNumberFormat="1" applyFont="1" applyFill="1" applyBorder="1" applyAlignment="1">
      <x:alignment vertical="top" wrapText="1"/>
    </x:xf>
    <x:xf numFmtId="0" fontId="7" fillId="11" borderId="10" xfId="0" applyNumberFormat="1" applyFont="1" applyFill="1" applyBorder="1" applyAlignment="1">
      <x:alignment vertical="top" wrapText="1"/>
    </x:xf>
    <x:xf numFmtId="0" fontId="7" fillId="11" borderId="11" xfId="0" applyNumberFormat="1" applyFont="1" applyFill="1" applyBorder="1" applyAlignment="1">
      <x:alignment vertical="top" wrapText="1"/>
    </x:xf>
    <x:xf numFmtId="0" fontId="7" fillId="11" borderId="12" xfId="0" applyNumberFormat="1" applyFont="1" applyFill="1" applyBorder="1" applyAlignment="1">
      <x:alignment vertical="top" wrapText="1"/>
    </x:xf>
    <x:xf numFmtId="0" fontId="7" fillId="11" borderId="13" xfId="0" applyNumberFormat="1" applyFont="1" applyFill="1" applyBorder="1" applyAlignment="1">
      <x:alignment vertical="top" wrapText="1"/>
    </x:xf>
    <x:xf numFmtId="0" fontId="7" fillId="11" borderId="14" xfId="0" applyNumberFormat="1" applyFont="1" applyFill="1" applyBorder="1" applyAlignment="1">
      <x:alignment vertical="top" wrapText="1"/>
    </x:xf>
    <x:xf numFmtId="0" fontId="7" fillId="11" borderId="15" xfId="0" applyNumberFormat="1" applyFont="1" applyFill="1" applyBorder="1" applyAlignment="1">
      <x:alignment vertical="top" wrapText="1"/>
    </x:xf>
    <x:xf numFmtId="200" fontId="7" fillId="11" borderId="10" xfId="0" applyNumberFormat="1" applyFont="1" applyFill="1" applyBorder="1" applyAlignment="1">
      <x:alignment vertical="top" wrapText="1"/>
    </x:xf>
    <x:xf numFmtId="200" fontId="7" fillId="11" borderId="11" xfId="0" applyNumberFormat="1" applyFont="1" applyFill="1" applyBorder="1" applyAlignment="1">
      <x:alignment vertical="top" wrapText="1"/>
    </x:xf>
    <x:xf numFmtId="200" fontId="7" fillId="11" borderId="12" xfId="0" applyNumberFormat="1" applyFont="1" applyFill="1" applyBorder="1" applyAlignment="1">
      <x:alignment vertical="top" wrapText="1"/>
    </x:xf>
    <x:xf numFmtId="200" fontId="7" fillId="11" borderId="13" xfId="0" applyNumberFormat="1" applyFont="1" applyFill="1" applyBorder="1" applyAlignment="1">
      <x:alignment vertical="top" wrapText="1"/>
    </x:xf>
    <x:xf numFmtId="200" fontId="7" fillId="11" borderId="14" xfId="0" applyNumberFormat="1" applyFont="1" applyFill="1" applyBorder="1" applyAlignment="1">
      <x:alignment vertical="top" wrapText="1"/>
    </x:xf>
    <x:xf numFmtId="200" fontId="7" fillId="11" borderId="15" xfId="0" applyNumberFormat="1" applyFont="1" applyFill="1" applyBorder="1" applyAlignment="1">
      <x:alignment vertical="top" wrapText="1"/>
    </x:xf>
    <x:xf numFmtId="200" fontId="7" fillId="11" borderId="10" xfId="0" applyNumberFormat="1" applyFont="1" applyFill="1" applyBorder="1" applyAlignment="1">
      <x:alignment horizontal="center" vertical="top" wrapText="1"/>
    </x:xf>
    <x:xf numFmtId="200" fontId="7" fillId="11" borderId="11" xfId="0" applyNumberFormat="1" applyFont="1" applyFill="1" applyBorder="1" applyAlignment="1">
      <x:alignment horizontal="center" vertical="top" wrapText="1"/>
    </x:xf>
    <x:xf numFmtId="200" fontId="7" fillId="11" borderId="12" xfId="0" applyNumberFormat="1" applyFont="1" applyFill="1" applyBorder="1" applyAlignment="1">
      <x:alignment horizontal="center" vertical="top" wrapText="1"/>
    </x:xf>
    <x:xf numFmtId="200" fontId="7" fillId="11" borderId="13" xfId="0" applyNumberFormat="1" applyFont="1" applyFill="1" applyBorder="1" applyAlignment="1">
      <x:alignment horizontal="center" vertical="top" wrapText="1"/>
    </x:xf>
    <x:xf numFmtId="200" fontId="7" fillId="11" borderId="14" xfId="0" applyNumberFormat="1" applyFont="1" applyFill="1" applyBorder="1" applyAlignment="1">
      <x:alignment horizontal="center" vertical="top" wrapText="1"/>
    </x:xf>
    <x:xf numFmtId="200" fontId="7" fillId="11" borderId="15" xfId="0" applyNumberFormat="1" applyFont="1" applyFill="1" applyBorder="1" applyAlignment="1">
      <x:alignment horizontal="center" vertical="top" wrapText="1"/>
    </x:xf>
    <x:xf numFmtId="200" fontId="7" fillId="11" borderId="10" xfId="0" applyNumberFormat="1" applyFont="1" applyFill="1" applyBorder="1" applyAlignment="1">
      <x:alignment horizontal="center" vertical="center" wrapText="1"/>
    </x:xf>
    <x:xf numFmtId="200" fontId="7" fillId="11" borderId="11" xfId="0" applyNumberFormat="1" applyFont="1" applyFill="1" applyBorder="1" applyAlignment="1">
      <x:alignment horizontal="center" vertical="center" wrapText="1"/>
    </x:xf>
    <x:xf numFmtId="200" fontId="7" fillId="11" borderId="12" xfId="0" applyNumberFormat="1" applyFont="1" applyFill="1" applyBorder="1" applyAlignment="1">
      <x:alignment horizontal="center" vertical="center" wrapText="1"/>
    </x:xf>
    <x:xf numFmtId="200" fontId="7" fillId="11" borderId="13" xfId="0" applyNumberFormat="1" applyFont="1" applyFill="1" applyBorder="1" applyAlignment="1">
      <x:alignment horizontal="center" vertical="center" wrapText="1"/>
    </x:xf>
    <x:xf numFmtId="200" fontId="7" fillId="11" borderId="14" xfId="0" applyNumberFormat="1" applyFont="1" applyFill="1" applyBorder="1" applyAlignment="1">
      <x:alignment horizontal="center" vertical="center" wrapText="1"/>
    </x:xf>
    <x:xf numFmtId="200" fontId="7" fillId="11" borderId="15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5" borderId="8" xfId="0" applyNumberFormat="1" applyFont="1" applyFill="1" applyBorder="1" applyAlignment="1">
      <x:alignment vertical="top" wrapText="1"/>
    </x:xf>
    <x:xf numFmtId="0" fontId="7" fillId="5" borderId="9" xfId="0" applyNumberFormat="1" applyFont="1" applyFill="1" applyBorder="1" applyAlignment="1">
      <x:alignment vertical="top" wrapText="1"/>
    </x:xf>
    <x:xf numFmtId="200" fontId="7" fillId="5" borderId="4" xfId="0" applyNumberFormat="1" applyFont="1" applyFill="1" applyBorder="1" applyAlignment="1">
      <x:alignment vertical="top" wrapText="1"/>
    </x:xf>
    <x:xf numFmtId="200" fontId="7" fillId="5" borderId="5" xfId="0" applyNumberFormat="1" applyFont="1" applyFill="1" applyBorder="1" applyAlignment="1">
      <x:alignment vertical="top" wrapText="1"/>
    </x:xf>
    <x:xf numFmtId="200" fontId="7" fillId="5" borderId="6" xfId="0" applyNumberFormat="1" applyFont="1" applyFill="1" applyBorder="1" applyAlignment="1">
      <x:alignment vertical="top" wrapText="1"/>
    </x:xf>
    <x:xf numFmtId="200" fontId="7" fillId="5" borderId="7" xfId="0" applyNumberFormat="1" applyFont="1" applyFill="1" applyBorder="1" applyAlignment="1">
      <x:alignment vertical="top" wrapText="1"/>
    </x:xf>
    <x:xf numFmtId="200" fontId="7" fillId="5" borderId="8" xfId="0" applyNumberFormat="1" applyFont="1" applyFill="1" applyBorder="1" applyAlignment="1">
      <x:alignment vertical="top" wrapText="1"/>
    </x:xf>
    <x:xf numFmtId="200" fontId="7" fillId="5" borderId="9" xfId="0" applyNumberFormat="1" applyFont="1" applyFill="1" applyBorder="1" applyAlignment="1">
      <x:alignment vertical="top" wrapText="1"/>
    </x:xf>
    <x:xf numFmtId="200" fontId="7" fillId="5" borderId="4" xfId="0" applyNumberFormat="1" applyFont="1" applyFill="1" applyBorder="1" applyAlignment="1">
      <x:alignment horizontal="center" vertical="top" wrapText="1"/>
    </x:xf>
    <x:xf numFmtId="200" fontId="7" fillId="5" borderId="5" xfId="0" applyNumberFormat="1" applyFont="1" applyFill="1" applyBorder="1" applyAlignment="1">
      <x:alignment horizontal="center" vertical="top" wrapText="1"/>
    </x:xf>
    <x:xf numFmtId="200" fontId="7" fillId="5" borderId="6" xfId="0" applyNumberFormat="1" applyFont="1" applyFill="1" applyBorder="1" applyAlignment="1">
      <x:alignment horizontal="center" vertical="top" wrapText="1"/>
    </x:xf>
    <x:xf numFmtId="200" fontId="7" fillId="5" borderId="7" xfId="0" applyNumberFormat="1" applyFont="1" applyFill="1" applyBorder="1" applyAlignment="1">
      <x:alignment horizontal="center" vertical="top" wrapText="1"/>
    </x:xf>
    <x:xf numFmtId="200" fontId="7" fillId="5" borderId="8" xfId="0" applyNumberFormat="1" applyFont="1" applyFill="1" applyBorder="1" applyAlignment="1">
      <x:alignment horizontal="center" vertical="top" wrapText="1"/>
    </x:xf>
    <x:xf numFmtId="200" fontId="7" fillId="5" borderId="9" xfId="0" applyNumberFormat="1" applyFont="1" applyFill="1" applyBorder="1" applyAlignment="1">
      <x:alignment horizontal="center" vertical="top" wrapText="1"/>
    </x:xf>
    <x:xf numFmtId="200" fontId="7" fillId="5" borderId="4" xfId="0" applyNumberFormat="1" applyFont="1" applyFill="1" applyBorder="1" applyAlignment="1">
      <x:alignment horizontal="center" vertical="center" wrapText="1"/>
    </x:xf>
    <x:xf numFmtId="200" fontId="7" fillId="5" borderId="5" xfId="0" applyNumberFormat="1" applyFont="1" applyFill="1" applyBorder="1" applyAlignment="1">
      <x:alignment horizontal="center" vertical="center" wrapText="1"/>
    </x:xf>
    <x:xf numFmtId="200" fontId="7" fillId="5" borderId="6" xfId="0" applyNumberFormat="1" applyFont="1" applyFill="1" applyBorder="1" applyAlignment="1">
      <x:alignment horizontal="center" vertical="center" wrapText="1"/>
    </x:xf>
    <x:xf numFmtId="200" fontId="7" fillId="5" borderId="7" xfId="0" applyNumberFormat="1" applyFont="1" applyFill="1" applyBorder="1" applyAlignment="1">
      <x:alignment horizontal="center" vertical="center" wrapText="1"/>
    </x:xf>
    <x:xf numFmtId="200" fontId="7" fillId="5" borderId="8" xfId="0" applyNumberFormat="1" applyFont="1" applyFill="1" applyBorder="1" applyAlignment="1">
      <x:alignment horizontal="center" vertical="center" wrapText="1"/>
    </x:xf>
    <x:xf numFmtId="200" fontId="7" fillId="5" borderId="9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10" xfId="0" applyNumberFormat="1" applyFont="1" applyFill="1" applyBorder="1" applyAlignment="1">
      <x:alignment vertical="top" wrapText="1"/>
    </x:xf>
    <x:xf numFmtId="0" fontId="7" fillId="5" borderId="11" xfId="0" applyNumberFormat="1" applyFont="1" applyFill="1" applyBorder="1" applyAlignment="1">
      <x:alignment vertical="top" wrapText="1"/>
    </x:xf>
    <x:xf numFmtId="0" fontId="7" fillId="5" borderId="12" xfId="0" applyNumberFormat="1" applyFont="1" applyFill="1" applyBorder="1" applyAlignment="1">
      <x:alignment vertical="top" wrapText="1"/>
    </x:xf>
    <x:xf numFmtId="0" fontId="7" fillId="5" borderId="13" xfId="0" applyNumberFormat="1" applyFont="1" applyFill="1" applyBorder="1" applyAlignment="1">
      <x:alignment vertical="top" wrapText="1"/>
    </x:xf>
    <x:xf numFmtId="0" fontId="7" fillId="5" borderId="14" xfId="0" applyNumberFormat="1" applyFont="1" applyFill="1" applyBorder="1" applyAlignment="1">
      <x:alignment vertical="top" wrapText="1"/>
    </x:xf>
    <x:xf numFmtId="0" fontId="7" fillId="5" borderId="15" xfId="0" applyNumberFormat="1" applyFont="1" applyFill="1" applyBorder="1" applyAlignment="1">
      <x:alignment vertical="top" wrapText="1"/>
    </x:xf>
    <x:xf numFmtId="200" fontId="7" fillId="5" borderId="10" xfId="0" applyNumberFormat="1" applyFont="1" applyFill="1" applyBorder="1" applyAlignment="1">
      <x:alignment vertical="top" wrapText="1"/>
    </x:xf>
    <x:xf numFmtId="200" fontId="7" fillId="5" borderId="11" xfId="0" applyNumberFormat="1" applyFont="1" applyFill="1" applyBorder="1" applyAlignment="1">
      <x:alignment vertical="top" wrapText="1"/>
    </x:xf>
    <x:xf numFmtId="200" fontId="7" fillId="5" borderId="12" xfId="0" applyNumberFormat="1" applyFont="1" applyFill="1" applyBorder="1" applyAlignment="1">
      <x:alignment vertical="top" wrapText="1"/>
    </x:xf>
    <x:xf numFmtId="200" fontId="7" fillId="5" borderId="13" xfId="0" applyNumberFormat="1" applyFont="1" applyFill="1" applyBorder="1" applyAlignment="1">
      <x:alignment vertical="top" wrapText="1"/>
    </x:xf>
    <x:xf numFmtId="200" fontId="7" fillId="5" borderId="14" xfId="0" applyNumberFormat="1" applyFont="1" applyFill="1" applyBorder="1" applyAlignment="1">
      <x:alignment vertical="top" wrapText="1"/>
    </x:xf>
    <x:xf numFmtId="200" fontId="7" fillId="5" borderId="15" xfId="0" applyNumberFormat="1" applyFont="1" applyFill="1" applyBorder="1" applyAlignment="1">
      <x:alignment vertical="top" wrapText="1"/>
    </x:xf>
    <x:xf numFmtId="200" fontId="7" fillId="5" borderId="10" xfId="0" applyNumberFormat="1" applyFont="1" applyFill="1" applyBorder="1" applyAlignment="1">
      <x:alignment horizontal="center" vertical="top" wrapText="1"/>
    </x:xf>
    <x:xf numFmtId="200" fontId="7" fillId="5" borderId="11" xfId="0" applyNumberFormat="1" applyFont="1" applyFill="1" applyBorder="1" applyAlignment="1">
      <x:alignment horizontal="center" vertical="top" wrapText="1"/>
    </x:xf>
    <x:xf numFmtId="200" fontId="7" fillId="5" borderId="12" xfId="0" applyNumberFormat="1" applyFont="1" applyFill="1" applyBorder="1" applyAlignment="1">
      <x:alignment horizontal="center" vertical="top" wrapText="1"/>
    </x:xf>
    <x:xf numFmtId="200" fontId="7" fillId="5" borderId="13" xfId="0" applyNumberFormat="1" applyFont="1" applyFill="1" applyBorder="1" applyAlignment="1">
      <x:alignment horizontal="center" vertical="top" wrapText="1"/>
    </x:xf>
    <x:xf numFmtId="200" fontId="7" fillId="5" borderId="14" xfId="0" applyNumberFormat="1" applyFont="1" applyFill="1" applyBorder="1" applyAlignment="1">
      <x:alignment horizontal="center" vertical="top" wrapText="1"/>
    </x:xf>
    <x:xf numFmtId="200" fontId="7" fillId="5" borderId="15" xfId="0" applyNumberFormat="1" applyFont="1" applyFill="1" applyBorder="1" applyAlignment="1">
      <x:alignment horizontal="center" vertical="top" wrapText="1"/>
    </x:xf>
    <x:xf numFmtId="200" fontId="7" fillId="5" borderId="10" xfId="0" applyNumberFormat="1" applyFont="1" applyFill="1" applyBorder="1" applyAlignment="1">
      <x:alignment horizontal="center" vertical="center" wrapText="1"/>
    </x:xf>
    <x:xf numFmtId="200" fontId="7" fillId="5" borderId="11" xfId="0" applyNumberFormat="1" applyFont="1" applyFill="1" applyBorder="1" applyAlignment="1">
      <x:alignment horizontal="center" vertical="center" wrapText="1"/>
    </x:xf>
    <x:xf numFmtId="200" fontId="7" fillId="5" borderId="12" xfId="0" applyNumberFormat="1" applyFont="1" applyFill="1" applyBorder="1" applyAlignment="1">
      <x:alignment horizontal="center" vertical="center" wrapText="1"/>
    </x:xf>
    <x:xf numFmtId="200" fontId="7" fillId="5" borderId="13" xfId="0" applyNumberFormat="1" applyFont="1" applyFill="1" applyBorder="1" applyAlignment="1">
      <x:alignment horizontal="center" vertical="center" wrapText="1"/>
    </x:xf>
    <x:xf numFmtId="200" fontId="7" fillId="5" borderId="14" xfId="0" applyNumberFormat="1" applyFont="1" applyFill="1" applyBorder="1" applyAlignment="1">
      <x:alignment horizontal="center" vertical="center" wrapText="1"/>
    </x:xf>
    <x:xf numFmtId="200" fontId="7" fillId="5" borderId="15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4" xfId="0" applyNumberFormat="1" applyFont="1" applyFill="1" applyBorder="1" applyAlignment="1">
      <x:alignment vertical="top" wrapText="1"/>
    </x:xf>
    <x:xf numFmtId="0" fontId="7" fillId="4" borderId="5" xfId="0" applyNumberFormat="1" applyFont="1" applyFill="1" applyBorder="1" applyAlignment="1">
      <x:alignment vertical="top" wrapText="1"/>
    </x:xf>
    <x:xf numFmtId="0" fontId="7" fillId="4" borderId="6" xfId="0" applyNumberFormat="1" applyFont="1" applyFill="1" applyBorder="1" applyAlignment="1">
      <x:alignment vertical="top" wrapText="1"/>
    </x:xf>
    <x:xf numFmtId="0" fontId="7" fillId="4" borderId="7" xfId="0" applyNumberFormat="1" applyFont="1" applyFill="1" applyBorder="1" applyAlignment="1">
      <x:alignment vertical="top" wrapText="1"/>
    </x:xf>
    <x:xf numFmtId="0" fontId="7" fillId="4" borderId="8" xfId="0" applyNumberFormat="1" applyFont="1" applyFill="1" applyBorder="1" applyAlignment="1">
      <x:alignment vertical="top" wrapText="1"/>
    </x:xf>
    <x:xf numFmtId="0" fontId="7" fillId="4" borderId="9" xfId="0" applyNumberFormat="1" applyFont="1" applyFill="1" applyBorder="1" applyAlignment="1">
      <x:alignment vertical="top" wrapText="1"/>
    </x:xf>
    <x:xf numFmtId="200" fontId="7" fillId="4" borderId="4" xfId="0" applyNumberFormat="1" applyFont="1" applyFill="1" applyBorder="1" applyAlignment="1">
      <x:alignment vertical="top" wrapText="1"/>
    </x:xf>
    <x:xf numFmtId="200" fontId="7" fillId="4" borderId="5" xfId="0" applyNumberFormat="1" applyFont="1" applyFill="1" applyBorder="1" applyAlignment="1">
      <x:alignment vertical="top" wrapText="1"/>
    </x:xf>
    <x:xf numFmtId="200" fontId="7" fillId="4" borderId="6" xfId="0" applyNumberFormat="1" applyFont="1" applyFill="1" applyBorder="1" applyAlignment="1">
      <x:alignment vertical="top" wrapText="1"/>
    </x:xf>
    <x:xf numFmtId="200" fontId="7" fillId="4" borderId="7" xfId="0" applyNumberFormat="1" applyFont="1" applyFill="1" applyBorder="1" applyAlignment="1">
      <x:alignment vertical="top" wrapText="1"/>
    </x:xf>
    <x:xf numFmtId="200" fontId="7" fillId="4" borderId="8" xfId="0" applyNumberFormat="1" applyFont="1" applyFill="1" applyBorder="1" applyAlignment="1">
      <x:alignment vertical="top" wrapText="1"/>
    </x:xf>
    <x:xf numFmtId="200" fontId="7" fillId="4" borderId="9" xfId="0" applyNumberFormat="1" applyFont="1" applyFill="1" applyBorder="1" applyAlignment="1">
      <x:alignment vertical="top" wrapText="1"/>
    </x:xf>
    <x:xf numFmtId="200" fontId="7" fillId="4" borderId="4" xfId="0" applyNumberFormat="1" applyFont="1" applyFill="1" applyBorder="1" applyAlignment="1">
      <x:alignment horizontal="center" vertical="top" wrapText="1"/>
    </x:xf>
    <x:xf numFmtId="200" fontId="7" fillId="4" borderId="5" xfId="0" applyNumberFormat="1" applyFont="1" applyFill="1" applyBorder="1" applyAlignment="1">
      <x:alignment horizontal="center" vertical="top" wrapText="1"/>
    </x:xf>
    <x:xf numFmtId="200" fontId="7" fillId="4" borderId="6" xfId="0" applyNumberFormat="1" applyFont="1" applyFill="1" applyBorder="1" applyAlignment="1">
      <x:alignment horizontal="center" vertical="top" wrapText="1"/>
    </x:xf>
    <x:xf numFmtId="200" fontId="7" fillId="4" borderId="7" xfId="0" applyNumberFormat="1" applyFont="1" applyFill="1" applyBorder="1" applyAlignment="1">
      <x:alignment horizontal="center" vertical="top" wrapText="1"/>
    </x:xf>
    <x:xf numFmtId="200" fontId="7" fillId="4" borderId="8" xfId="0" applyNumberFormat="1" applyFont="1" applyFill="1" applyBorder="1" applyAlignment="1">
      <x:alignment horizontal="center" vertical="top" wrapText="1"/>
    </x:xf>
    <x:xf numFmtId="200" fontId="7" fillId="4" borderId="9" xfId="0" applyNumberFormat="1" applyFont="1" applyFill="1" applyBorder="1" applyAlignment="1">
      <x:alignment horizontal="center" vertical="top" wrapText="1"/>
    </x:xf>
    <x:xf numFmtId="200" fontId="7" fillId="4" borderId="4" xfId="0" applyNumberFormat="1" applyFont="1" applyFill="1" applyBorder="1" applyAlignment="1">
      <x:alignment horizontal="center" vertical="center" wrapText="1"/>
    </x:xf>
    <x:xf numFmtId="200" fontId="7" fillId="4" borderId="5" xfId="0" applyNumberFormat="1" applyFont="1" applyFill="1" applyBorder="1" applyAlignment="1">
      <x:alignment horizontal="center" vertical="center" wrapText="1"/>
    </x:xf>
    <x:xf numFmtId="200" fontId="7" fillId="4" borderId="6" xfId="0" applyNumberFormat="1" applyFont="1" applyFill="1" applyBorder="1" applyAlignment="1">
      <x:alignment horizontal="center" vertical="center" wrapText="1"/>
    </x:xf>
    <x:xf numFmtId="200" fontId="7" fillId="4" borderId="7" xfId="0" applyNumberFormat="1" applyFont="1" applyFill="1" applyBorder="1" applyAlignment="1">
      <x:alignment horizontal="center" vertical="center" wrapText="1"/>
    </x:xf>
    <x:xf numFmtId="200" fontId="7" fillId="4" borderId="8" xfId="0" applyNumberFormat="1" applyFont="1" applyFill="1" applyBorder="1" applyAlignment="1">
      <x:alignment horizontal="center" vertical="center" wrapText="1"/>
    </x:xf>
    <x:xf numFmtId="200" fontId="7" fillId="4" borderId="9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vertical="top" wrapText="1"/>
    </x:xf>
    <x:xf numFmtId="0" fontId="7" fillId="4" borderId="10" xfId="0" applyNumberFormat="1" applyFont="1" applyFill="1" applyBorder="1" applyAlignment="1">
      <x:alignment vertical="top" wrapText="1"/>
    </x:xf>
    <x:xf numFmtId="0" fontId="7" fillId="4" borderId="11" xfId="0" applyNumberFormat="1" applyFont="1" applyFill="1" applyBorder="1" applyAlignment="1">
      <x:alignment vertical="top" wrapText="1"/>
    </x:xf>
    <x:xf numFmtId="0" fontId="7" fillId="4" borderId="12" xfId="0" applyNumberFormat="1" applyFont="1" applyFill="1" applyBorder="1" applyAlignment="1">
      <x:alignment vertical="top" wrapText="1"/>
    </x:xf>
    <x:xf numFmtId="0" fontId="7" fillId="4" borderId="13" xfId="0" applyNumberFormat="1" applyFont="1" applyFill="1" applyBorder="1" applyAlignment="1">
      <x:alignment vertical="top" wrapText="1"/>
    </x:xf>
    <x:xf numFmtId="0" fontId="7" fillId="4" borderId="14" xfId="0" applyNumberFormat="1" applyFont="1" applyFill="1" applyBorder="1" applyAlignment="1">
      <x:alignment vertical="top" wrapText="1"/>
    </x:xf>
    <x:xf numFmtId="0" fontId="7" fillId="4" borderId="15" xfId="0" applyNumberFormat="1" applyFont="1" applyFill="1" applyBorder="1" applyAlignment="1">
      <x:alignment vertical="top" wrapText="1"/>
    </x:xf>
    <x:xf numFmtId="200" fontId="7" fillId="4" borderId="10" xfId="0" applyNumberFormat="1" applyFont="1" applyFill="1" applyBorder="1" applyAlignment="1">
      <x:alignment vertical="top" wrapText="1"/>
    </x:xf>
    <x:xf numFmtId="200" fontId="7" fillId="4" borderId="11" xfId="0" applyNumberFormat="1" applyFont="1" applyFill="1" applyBorder="1" applyAlignment="1">
      <x:alignment vertical="top" wrapText="1"/>
    </x:xf>
    <x:xf numFmtId="200" fontId="7" fillId="4" borderId="12" xfId="0" applyNumberFormat="1" applyFont="1" applyFill="1" applyBorder="1" applyAlignment="1">
      <x:alignment vertical="top" wrapText="1"/>
    </x:xf>
    <x:xf numFmtId="200" fontId="7" fillId="4" borderId="13" xfId="0" applyNumberFormat="1" applyFont="1" applyFill="1" applyBorder="1" applyAlignment="1">
      <x:alignment vertical="top" wrapText="1"/>
    </x:xf>
    <x:xf numFmtId="200" fontId="7" fillId="4" borderId="14" xfId="0" applyNumberFormat="1" applyFont="1" applyFill="1" applyBorder="1" applyAlignment="1">
      <x:alignment vertical="top" wrapText="1"/>
    </x:xf>
    <x:xf numFmtId="200" fontId="7" fillId="4" borderId="15" xfId="0" applyNumberFormat="1" applyFont="1" applyFill="1" applyBorder="1" applyAlignment="1">
      <x:alignment vertical="top" wrapText="1"/>
    </x:xf>
    <x:xf numFmtId="200" fontId="7" fillId="4" borderId="10" xfId="0" applyNumberFormat="1" applyFont="1" applyFill="1" applyBorder="1" applyAlignment="1">
      <x:alignment horizontal="center" vertical="top" wrapText="1"/>
    </x:xf>
    <x:xf numFmtId="200" fontId="7" fillId="4" borderId="11" xfId="0" applyNumberFormat="1" applyFont="1" applyFill="1" applyBorder="1" applyAlignment="1">
      <x:alignment horizontal="center" vertical="top" wrapText="1"/>
    </x:xf>
    <x:xf numFmtId="200" fontId="7" fillId="4" borderId="12" xfId="0" applyNumberFormat="1" applyFont="1" applyFill="1" applyBorder="1" applyAlignment="1">
      <x:alignment horizontal="center" vertical="top" wrapText="1"/>
    </x:xf>
    <x:xf numFmtId="200" fontId="7" fillId="4" borderId="13" xfId="0" applyNumberFormat="1" applyFont="1" applyFill="1" applyBorder="1" applyAlignment="1">
      <x:alignment horizontal="center" vertical="top" wrapText="1"/>
    </x:xf>
    <x:xf numFmtId="200" fontId="7" fillId="4" borderId="14" xfId="0" applyNumberFormat="1" applyFont="1" applyFill="1" applyBorder="1" applyAlignment="1">
      <x:alignment horizontal="center" vertical="top" wrapText="1"/>
    </x:xf>
    <x:xf numFmtId="200" fontId="7" fillId="4" borderId="15" xfId="0" applyNumberFormat="1" applyFont="1" applyFill="1" applyBorder="1" applyAlignment="1">
      <x:alignment horizontal="center" vertical="top" wrapText="1"/>
    </x:xf>
    <x:xf numFmtId="200" fontId="7" fillId="4" borderId="10" xfId="0" applyNumberFormat="1" applyFont="1" applyFill="1" applyBorder="1" applyAlignment="1">
      <x:alignment horizontal="center" vertical="center" wrapText="1"/>
    </x:xf>
    <x:xf numFmtId="200" fontId="7" fillId="4" borderId="11" xfId="0" applyNumberFormat="1" applyFont="1" applyFill="1" applyBorder="1" applyAlignment="1">
      <x:alignment horizontal="center" vertical="center" wrapText="1"/>
    </x:xf>
    <x:xf numFmtId="200" fontId="7" fillId="4" borderId="12" xfId="0" applyNumberFormat="1" applyFont="1" applyFill="1" applyBorder="1" applyAlignment="1">
      <x:alignment horizontal="center" vertical="center" wrapText="1"/>
    </x:xf>
    <x:xf numFmtId="200" fontId="7" fillId="4" borderId="13" xfId="0" applyNumberFormat="1" applyFont="1" applyFill="1" applyBorder="1" applyAlignment="1">
      <x:alignment horizontal="center" vertical="center" wrapText="1"/>
    </x:xf>
    <x:xf numFmtId="200" fontId="7" fillId="4" borderId="14" xfId="0" applyNumberFormat="1" applyFont="1" applyFill="1" applyBorder="1" applyAlignment="1">
      <x:alignment horizontal="center" vertical="center" wrapText="1"/>
    </x:xf>
    <x:xf numFmtId="200" fontId="7" fillId="4" borderId="15" xfId="0" applyNumberFormat="1" applyFont="1" applyFill="1" applyBorder="1" applyAlignment="1">
      <x:alignment horizontal="center" vertical="center" wrapText="1"/>
    </x:xf>
    <x:xf numFmtId="0" fontId="7" fillId="10" borderId="0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horizontal="center" vertical="top" wrapText="1"/>
    </x:xf>
    <x:xf numFmtId="0" fontId="7" fillId="10" borderId="0" xfId="0" applyNumberFormat="1" applyFont="1" applyFill="1" applyBorder="1" applyAlignment="1">
      <x:alignment horizontal="center" vertical="center" wrapText="1"/>
    </x:xf>
    <x:xf numFmtId="0" fontId="7" fillId="10" borderId="1" xfId="0" applyNumberFormat="1" applyFont="1" applyFill="1" applyBorder="1" applyAlignment="1">
      <x:alignment vertical="top" wrapText="1"/>
    </x:xf>
    <x:xf numFmtId="0" fontId="7" fillId="10" borderId="1" xfId="0" applyNumberFormat="1" applyFont="1" applyFill="1" applyBorder="1" applyAlignment="1">
      <x:alignment horizontal="center" vertical="top" wrapText="1"/>
    </x:xf>
    <x:xf numFmtId="0" fontId="7" fillId="10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6" fillId="9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203" fontId="5" fillId="2" borderId="0" xfId="0" applyNumberFormat="1" applyFont="1" applyFill="1" applyBorder="1" applyAlignment="1">
      <x:alignment vertical="center" wrapText="1"/>
    </x:xf>
    <x:xf numFmtId="203" fontId="5" fillId="2" borderId="1" xfId="0" applyNumberFormat="1" applyFont="1" applyFill="1" applyBorder="1" applyAlignment="1">
      <x:alignment vertical="center" wrapText="1"/>
    </x:xf>
    <x:xf numFmtId="200" fontId="5" fillId="2" borderId="0" xfId="0" applyNumberFormat="1" applyFont="1" applyFill="1" applyBorder="1" applyAlignment="1">
      <x:alignment vertical="center" wrapText="1"/>
    </x:xf>
    <x:xf numFmtId="200" fontId="5" fillId="9" borderId="0" xfId="0" applyNumberFormat="1" applyFont="1" applyFill="1" applyBorder="1" applyAlignment="1">
      <x:alignment vertical="center" wrapText="1"/>
    </x:xf>
    <x:xf numFmtId="200" fontId="5" fillId="2" borderId="1" xfId="0" applyNumberFormat="1" applyFont="1" applyFill="1" applyBorder="1" applyAlignment="1">
      <x:alignment vertical="center" wrapText="1"/>
    </x:xf>
    <x:xf numFmtId="200" fontId="5" fillId="9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9" borderId="1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center" wrapText="1"/>
    </x:xf>
    <x:xf numFmtId="0" fontId="7" fillId="9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horizontal="center" vertical="top" wrapText="1"/>
    </x:xf>
    <x:xf numFmtId="0" fontId="7" fillId="4" borderId="5" xfId="0" applyNumberFormat="1" applyFont="1" applyFill="1" applyBorder="1" applyAlignment="1">
      <x:alignment horizontal="center" vertical="top" wrapText="1"/>
    </x:xf>
    <x:xf numFmtId="0" fontId="7" fillId="4" borderId="6" xfId="0" applyNumberFormat="1" applyFont="1" applyFill="1" applyBorder="1" applyAlignment="1">
      <x:alignment horizontal="center" vertical="top" wrapText="1"/>
    </x:xf>
    <x:xf numFmtId="0" fontId="7" fillId="4" borderId="7" xfId="0" applyNumberFormat="1" applyFont="1" applyFill="1" applyBorder="1" applyAlignment="1">
      <x:alignment horizontal="center" vertical="top" wrapText="1"/>
    </x:xf>
    <x:xf numFmtId="0" fontId="7" fillId="4" borderId="8" xfId="0" applyNumberFormat="1" applyFont="1" applyFill="1" applyBorder="1" applyAlignment="1">
      <x:alignment horizontal="center" vertical="top" wrapText="1"/>
    </x:xf>
    <x:xf numFmtId="0" fontId="7" fillId="4" borderId="9" xfId="0" applyNumberFormat="1" applyFont="1" applyFill="1" applyBorder="1" applyAlignment="1">
      <x:alignment horizontal="center" vertical="top" wrapText="1"/>
    </x:xf>
    <x:xf numFmtId="0" fontId="7" fillId="4" borderId="4" xfId="0" applyNumberFormat="1" applyFont="1" applyFill="1" applyBorder="1" applyAlignment="1">
      <x:alignment horizontal="center" vertical="center" wrapText="1"/>
    </x:xf>
    <x:xf numFmtId="0" fontId="7" fillId="4" borderId="5" xfId="0" applyNumberFormat="1" applyFont="1" applyFill="1" applyBorder="1" applyAlignment="1">
      <x:alignment horizontal="center" vertical="center" wrapText="1"/>
    </x:xf>
    <x:xf numFmtId="0" fontId="7" fillId="4" borderId="6" xfId="0" applyNumberFormat="1" applyFont="1" applyFill="1" applyBorder="1" applyAlignment="1">
      <x:alignment horizontal="center" vertical="center" wrapText="1"/>
    </x:xf>
    <x:xf numFmtId="0" fontId="7" fillId="4" borderId="7" xfId="0" applyNumberFormat="1" applyFont="1" applyFill="1" applyBorder="1" applyAlignment="1">
      <x:alignment horizontal="center" vertical="center" wrapText="1"/>
    </x:xf>
    <x:xf numFmtId="0" fontId="7" fillId="4" borderId="8" xfId="0" applyNumberFormat="1" applyFont="1" applyFill="1" applyBorder="1" applyAlignment="1">
      <x:alignment horizontal="center" vertical="center" wrapText="1"/>
    </x:xf>
    <x:xf numFmtId="0" fontId="7" fillId="4" borderId="9" xfId="0" applyNumberFormat="1" applyFont="1" applyFill="1" applyBorder="1" applyAlignment="1">
      <x:alignment horizontal="center" vertical="center" wrapText="1"/>
    </x:xf>
    <x:xf numFmtId="0" fontId="7" fillId="4" borderId="10" xfId="0" applyNumberFormat="1" applyFont="1" applyFill="1" applyBorder="1" applyAlignment="1">
      <x:alignment horizontal="center" vertical="top" wrapText="1"/>
    </x:xf>
    <x:xf numFmtId="0" fontId="7" fillId="4" borderId="11" xfId="0" applyNumberFormat="1" applyFont="1" applyFill="1" applyBorder="1" applyAlignment="1">
      <x:alignment horizontal="center" vertical="top" wrapText="1"/>
    </x:xf>
    <x:xf numFmtId="0" fontId="7" fillId="4" borderId="12" xfId="0" applyNumberFormat="1" applyFont="1" applyFill="1" applyBorder="1" applyAlignment="1">
      <x:alignment horizontal="center" vertical="top" wrapText="1"/>
    </x:xf>
    <x:xf numFmtId="0" fontId="7" fillId="4" borderId="13" xfId="0" applyNumberFormat="1" applyFont="1" applyFill="1" applyBorder="1" applyAlignment="1">
      <x:alignment horizontal="center" vertical="top" wrapText="1"/>
    </x:xf>
    <x:xf numFmtId="0" fontId="7" fillId="4" borderId="14" xfId="0" applyNumberFormat="1" applyFont="1" applyFill="1" applyBorder="1" applyAlignment="1">
      <x:alignment horizontal="center" vertical="top" wrapText="1"/>
    </x:xf>
    <x:xf numFmtId="0" fontId="7" fillId="4" borderId="15" xfId="0" applyNumberFormat="1" applyFont="1" applyFill="1" applyBorder="1" applyAlignment="1">
      <x:alignment horizontal="center" vertical="top" wrapText="1"/>
    </x:xf>
    <x:xf numFmtId="0" fontId="7" fillId="4" borderId="10" xfId="0" applyNumberFormat="1" applyFont="1" applyFill="1" applyBorder="1" applyAlignment="1">
      <x:alignment horizontal="center" vertical="center" wrapText="1"/>
    </x:xf>
    <x:xf numFmtId="0" fontId="7" fillId="4" borderId="11" xfId="0" applyNumberFormat="1" applyFont="1" applyFill="1" applyBorder="1" applyAlignment="1">
      <x:alignment horizontal="center" vertical="center" wrapText="1"/>
    </x:xf>
    <x:xf numFmtId="0" fontId="7" fillId="4" borderId="12" xfId="0" applyNumberFormat="1" applyFont="1" applyFill="1" applyBorder="1" applyAlignment="1">
      <x:alignment horizontal="center" vertical="center" wrapText="1"/>
    </x:xf>
    <x:xf numFmtId="0" fontId="7" fillId="4" borderId="13" xfId="0" applyNumberFormat="1" applyFont="1" applyFill="1" applyBorder="1" applyAlignment="1">
      <x:alignment horizontal="center" vertical="center" wrapText="1"/>
    </x:xf>
    <x:xf numFmtId="0" fontId="7" fillId="4" borderId="14" xfId="0" applyNumberFormat="1" applyFont="1" applyFill="1" applyBorder="1" applyAlignment="1">
      <x:alignment horizontal="center" vertical="center" wrapText="1"/>
    </x:xf>
    <x:xf numFmtId="0" fontId="7" fillId="4" borderId="15" xfId="0" applyNumberFormat="1" applyFont="1" applyFill="1" applyBorder="1" applyAlignment="1">
      <x:alignment horizontal="center" vertical="center" wrapText="1"/>
    </x:xf>
    <x:xf numFmtId="0" fontId="1" fillId="8" borderId="2" xfId="0" applyNumberFormat="1" applyFont="1" applyFill="1" applyBorder="1" applyAlignment="1">
      <x:alignment vertical="top" wrapText="1"/>
    </x:xf>
    <x:xf numFmtId="0" fontId="4" fillId="8" borderId="2" xfId="0" applyNumberFormat="1" applyFont="1" applyFill="1" applyBorder="1" applyAlignment="1">
      <x:alignment vertical="top" wrapText="1"/>
    </x:xf>
    <x:xf numFmtId="0" fontId="4" fillId="8" borderId="2" xfId="0" applyNumberFormat="1" applyFont="1" applyFill="1" applyBorder="1" applyAlignment="1">
      <x:alignment horizontal="center" vertical="top" wrapText="1"/>
    </x:xf>
    <x:xf numFmtId="0" fontId="1" fillId="8" borderId="3" xfId="0" applyNumberFormat="1" applyFont="1" applyFill="1" applyBorder="1" applyAlignment="1">
      <x:alignment vertical="top" wrapText="1"/>
    </x:xf>
    <x:xf numFmtId="0" fontId="4" fillId="8" borderId="3" xfId="0" applyNumberFormat="1" applyFont="1" applyFill="1" applyBorder="1" applyAlignment="1">
      <x:alignment vertical="top" wrapText="1"/>
    </x:xf>
    <x:xf numFmtId="0" fontId="4" fillId="8" borderId="3" xfId="0" applyNumberFormat="1" applyFont="1" applyFill="1" applyBorder="1" applyAlignment="1">
      <x:alignment horizontal="center"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1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vertical="center" wrapText="1"/>
    </x:xf>
    <x:xf numFmtId="200" fontId="8" fillId="9" borderId="0" xfId="0" applyNumberFormat="1" applyFont="1" applyFill="1" applyBorder="1" applyAlignment="1">
      <x:alignment vertical="center" wrapText="1"/>
    </x:xf>
    <x:xf numFmtId="200" fontId="8" fillId="9" borderId="1" xfId="0" applyNumberFormat="1" applyFont="1" applyFill="1" applyBorder="1" applyAlignment="1">
      <x:alignment vertical="center" wrapText="1"/>
    </x:xf>
    <x:xf numFmtId="200" fontId="8" fillId="9" borderId="0" xfId="0" applyNumberFormat="1" applyFont="1" applyFill="1" applyBorder="1" applyAlignment="1">
      <x:alignment horizontal="center" vertical="center" wrapText="1"/>
    </x:xf>
    <x:xf numFmtId="200" fontId="8" fillId="9" borderId="1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vertical="center" wrapText="1"/>
    </x:xf>
    <x:xf numFmtId="200" fontId="8" fillId="2" borderId="0" xfId="0" applyNumberFormat="1" applyFont="1" applyFill="1" applyBorder="1" applyAlignment="1">
      <x:alignment vertical="center" wrapText="1"/>
    </x:xf>
    <x:xf numFmtId="200" fontId="8" fillId="2" borderId="1" xfId="0" applyNumberFormat="1" applyFont="1" applyFill="1" applyBorder="1" applyAlignment="1">
      <x:alignment vertical="center" wrapText="1"/>
    </x:xf>
    <x:xf numFmtId="200" fontId="8" fillId="2" borderId="0" xfId="0" applyNumberFormat="1" applyFont="1" applyFill="1" applyBorder="1" applyAlignment="1">
      <x:alignment horizontal="center" vertical="center" wrapText="1"/>
    </x:xf>
    <x:xf numFmtId="200" fontId="8" fillId="2" borderId="1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200" fontId="7" fillId="4" borderId="0" xfId="0" applyNumberFormat="1" applyFont="1" applyFill="1" applyBorder="1" applyAlignment="1">
      <x:alignment vertical="center" wrapText="1"/>
    </x:xf>
    <x:xf numFmtId="200" fontId="7" fillId="4" borderId="1" xfId="0" applyNumberFormat="1" applyFont="1" applyFill="1" applyBorder="1" applyAlignment="1">
      <x:alignment vertical="center" wrapText="1"/>
    </x:xf>
    <x:xf numFmtId="200" fontId="7" fillId="4" borderId="0" xfId="0" applyNumberFormat="1" applyFont="1" applyFill="1" applyBorder="1" applyAlignment="1">
      <x:alignment horizontal="center" vertical="center" wrapText="1"/>
    </x:xf>
    <x:xf numFmtId="200" fontId="7" fillId="4" borderId="1" xfId="0" applyNumberFormat="1" applyFont="1" applyFill="1" applyBorder="1" applyAlignment="1">
      <x:alignment horizontal="center" vertical="center" wrapText="1"/>
    </x:xf>
    <x:xf numFmtId="0" fontId="8" fillId="2" borderId="2" xfId="0" applyNumberFormat="1" applyFont="1" applyFill="1" applyBorder="1" applyAlignment="1">
      <x:alignment vertical="top" wrapText="1"/>
    </x:xf>
    <x:xf numFmtId="0" fontId="8" fillId="2" borderId="2" xfId="0" applyNumberFormat="1" applyFont="1" applyFill="1" applyBorder="1" applyAlignment="1">
      <x:alignment vertical="center" wrapText="1"/>
    </x:xf>
    <x:xf numFmtId="0" fontId="8" fillId="2" borderId="3" xfId="0" applyNumberFormat="1" applyFont="1" applyFill="1" applyBorder="1" applyAlignment="1">
      <x:alignment vertical="top" wrapText="1"/>
    </x:xf>
    <x:xf numFmtId="0" fontId="8" fillId="2" borderId="3" xfId="0" applyNumberFormat="1" applyFont="1" applyFill="1" applyBorder="1" applyAlignment="1">
      <x:alignment vertical="center" wrapText="1"/>
    </x:xf>
    <x:xf numFmtId="200" fontId="8" fillId="2" borderId="2" xfId="0" applyNumberFormat="1" applyFont="1" applyFill="1" applyBorder="1" applyAlignment="1">
      <x:alignment vertical="center" wrapText="1"/>
    </x:xf>
    <x:xf numFmtId="200" fontId="8" fillId="2" borderId="3" xfId="0" applyNumberFormat="1" applyFont="1" applyFill="1" applyBorder="1" applyAlignment="1">
      <x:alignment vertical="center" wrapText="1"/>
    </x:xf>
    <x:xf numFmtId="200" fontId="8" fillId="2" borderId="2" xfId="0" applyNumberFormat="1" applyFont="1" applyFill="1" applyBorder="1" applyAlignment="1">
      <x:alignment horizontal="center" vertical="center" wrapText="1"/>
    </x:xf>
    <x:xf numFmtId="200" fontId="8" fillId="2" borderId="3" xfId="0" applyNumberFormat="1" applyFont="1" applyFill="1" applyBorder="1" applyAlignment="1">
      <x:alignment horizontal="center" vertical="center" wrapText="1"/>
    </x:xf>
    <x:xf numFmtId="0" fontId="8" fillId="9" borderId="2" xfId="0" applyNumberFormat="1" applyFont="1" applyFill="1" applyBorder="1" applyAlignment="1">
      <x:alignment vertical="top" wrapText="1"/>
    </x:xf>
    <x:xf numFmtId="0" fontId="8" fillId="9" borderId="2" xfId="0" applyNumberFormat="1" applyFont="1" applyFill="1" applyBorder="1" applyAlignment="1">
      <x:alignment vertical="center" wrapText="1"/>
    </x:xf>
    <x:xf numFmtId="0" fontId="8" fillId="9" borderId="3" xfId="0" applyNumberFormat="1" applyFont="1" applyFill="1" applyBorder="1" applyAlignment="1">
      <x:alignment vertical="top" wrapText="1"/>
    </x:xf>
    <x:xf numFmtId="0" fontId="8" fillId="9" borderId="3" xfId="0" applyNumberFormat="1" applyFont="1" applyFill="1" applyBorder="1" applyAlignment="1">
      <x:alignment vertical="center" wrapText="1"/>
    </x:xf>
    <x:xf numFmtId="200" fontId="8" fillId="9" borderId="2" xfId="0" applyNumberFormat="1" applyFont="1" applyFill="1" applyBorder="1" applyAlignment="1">
      <x:alignment vertical="center" wrapText="1"/>
    </x:xf>
    <x:xf numFmtId="200" fontId="8" fillId="9" borderId="3" xfId="0" applyNumberFormat="1" applyFont="1" applyFill="1" applyBorder="1" applyAlignment="1">
      <x:alignment vertical="center" wrapText="1"/>
    </x:xf>
    <x:xf numFmtId="200" fontId="8" fillId="9" borderId="2" xfId="0" applyNumberFormat="1" applyFont="1" applyFill="1" applyBorder="1" applyAlignment="1">
      <x:alignment horizontal="center" vertical="center" wrapText="1"/>
    </x:xf>
    <x:xf numFmtId="200" fontId="8" fillId="9" borderId="3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top" wrapText="1"/>
    </x:xf>
    <x:xf numFmtId="0" fontId="7" fillId="4" borderId="3" xfId="0" applyNumberFormat="1" applyFont="1" applyFill="1" applyBorder="1" applyAlignment="1">
      <x:alignment vertical="center" wrapText="1"/>
    </x:xf>
    <x:xf numFmtId="200" fontId="7" fillId="4" borderId="2" xfId="0" applyNumberFormat="1" applyFont="1" applyFill="1" applyBorder="1" applyAlignment="1">
      <x:alignment vertical="center" wrapText="1"/>
    </x:xf>
    <x:xf numFmtId="200" fontId="7" fillId="4" borderId="3" xfId="0" applyNumberFormat="1" applyFont="1" applyFill="1" applyBorder="1" applyAlignment="1">
      <x:alignment vertical="center" wrapText="1"/>
    </x:xf>
    <x:xf numFmtId="200" fontId="7" fillId="4" borderId="2" xfId="0" applyNumberFormat="1" applyFont="1" applyFill="1" applyBorder="1" applyAlignment="1">
      <x:alignment horizontal="center" vertical="center" wrapText="1"/>
    </x:xf>
    <x:xf numFmtId="200" fontId="7" fillId="4" borderId="3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200" fontId="1" fillId="9" borderId="1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horizontal="center" vertical="center" wrapText="1"/>
    </x:xf>
    <x:xf numFmtId="200" fontId="1" fillId="9" borderId="1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0" fontId="7" fillId="4" borderId="16" xfId="0" applyNumberFormat="1" applyFont="1" applyFill="1" applyBorder="1" applyAlignment="1">
      <x:alignment vertical="center" wrapText="1"/>
    </x:xf>
    <x:xf numFmtId="200" fontId="7" fillId="4" borderId="16" xfId="0" applyNumberFormat="1" applyFont="1" applyFill="1" applyBorder="1" applyAlignment="1">
      <x:alignment horizontal="center" vertical="center" wrapText="1"/>
    </x:xf>
    <x:xf numFmtId="200" fontId="1" fillId="4" borderId="1" xfId="0" applyNumberFormat="1" applyFont="1" applyFill="1" applyBorder="1" applyAlignment="1">
      <x:alignment horizontal="center" vertical="center" wrapText="1"/>
    </x:xf>
    <x:xf numFmtId="0" fontId="7" fillId="4" borderId="17" xfId="0" applyNumberFormat="1" applyFont="1" applyFill="1" applyBorder="1" applyAlignment="1">
      <x:alignment vertical="center" wrapText="1"/>
    </x:xf>
    <x:xf numFmtId="200" fontId="7" fillId="4" borderId="17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201" fontId="9" fillId="9" borderId="0" xfId="0" applyNumberFormat="1" applyFont="1" applyFill="1" applyBorder="1" applyAlignment="1">
      <x:alignment vertical="center" wrapText="1"/>
    </x:xf>
    <x:xf numFmtId="201" fontId="8" fillId="9" borderId="0" xfId="0" applyNumberFormat="1" applyFont="1" applyFill="1" applyBorder="1" applyAlignment="1">
      <x:alignment vertical="center" wrapText="1"/>
    </x:xf>
    <x:xf numFmtId="201" fontId="9" fillId="9" borderId="1" xfId="0" applyNumberFormat="1" applyFont="1" applyFill="1" applyBorder="1" applyAlignment="1">
      <x:alignment vertical="center" wrapText="1"/>
    </x:xf>
    <x:xf numFmtId="201" fontId="8" fillId="9" borderId="1" xfId="0" applyNumberFormat="1" applyFont="1" applyFill="1" applyBorder="1" applyAlignment="1">
      <x:alignment vertical="center" wrapText="1"/>
    </x:xf>
    <x:xf numFmtId="200" fontId="9" fillId="2" borderId="0" xfId="0" applyNumberFormat="1" applyFont="1" applyFill="1" applyBorder="1" applyAlignment="1">
      <x:alignment vertical="center" wrapText="1"/>
    </x:xf>
    <x:xf numFmtId="200" fontId="9" fillId="9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  <x:xf numFmtId="200" fontId="9" fillId="2" borderId="1" xfId="0" applyNumberFormat="1" applyFont="1" applyFill="1" applyBorder="1" applyAlignment="1">
      <x:alignment vertical="center" wrapText="1"/>
    </x:xf>
    <x:xf numFmtId="200" fontId="9" fillId="9" borderId="1" xfId="0" applyNumberFormat="1" applyFont="1" applyFill="1" applyBorder="1" applyAlignment="1">
      <x:alignment vertical="center" wrapText="1"/>
    </x:xf>
    <x:xf numFmtId="200" fontId="5" fillId="4" borderId="1" xfId="0" applyNumberFormat="1" applyFont="1" applyFill="1" applyBorder="1" applyAlignment="1">
      <x:alignment vertical="center" wrapText="1"/>
    </x:xf>
    <x:xf numFmtId="201" fontId="9" fillId="9" borderId="0" xfId="0" applyNumberFormat="1" applyFont="1" applyFill="1" applyBorder="1" applyAlignment="1">
      <x:alignment horizontal="center" vertical="center" wrapText="1"/>
    </x:xf>
    <x:xf numFmtId="201" fontId="8" fillId="9" borderId="0" xfId="0" applyNumberFormat="1" applyFont="1" applyFill="1" applyBorder="1" applyAlignment="1">
      <x:alignment horizontal="center" vertical="center" wrapText="1"/>
    </x:xf>
    <x:xf numFmtId="200" fontId="9" fillId="2" borderId="0" xfId="0" applyNumberFormat="1" applyFont="1" applyFill="1" applyBorder="1" applyAlignment="1">
      <x:alignment horizontal="center" vertical="center" wrapText="1"/>
    </x:xf>
    <x:xf numFmtId="200" fontId="9" fillId="9" borderId="0" xfId="0" applyNumberFormat="1" applyFont="1" applyFill="1" applyBorder="1" applyAlignment="1">
      <x:alignment horizontal="center" vertical="center" wrapText="1"/>
    </x:xf>
    <x:xf numFmtId="200" fontId="5" fillId="4" borderId="0" xfId="0" applyNumberFormat="1" applyFont="1" applyFill="1" applyBorder="1" applyAlignment="1">
      <x:alignment horizontal="center" vertical="center" wrapText="1"/>
    </x:xf>
    <x:xf numFmtId="201" fontId="9" fillId="9" borderId="1" xfId="0" applyNumberFormat="1" applyFont="1" applyFill="1" applyBorder="1" applyAlignment="1">
      <x:alignment horizontal="center" vertical="center" wrapText="1"/>
    </x:xf>
    <x:xf numFmtId="201" fontId="8" fillId="9" borderId="1" xfId="0" applyNumberFormat="1" applyFont="1" applyFill="1" applyBorder="1" applyAlignment="1">
      <x:alignment horizontal="center" vertical="center" wrapText="1"/>
    </x:xf>
    <x:xf numFmtId="200" fontId="9" fillId="2" borderId="1" xfId="0" applyNumberFormat="1" applyFont="1" applyFill="1" applyBorder="1" applyAlignment="1">
      <x:alignment horizontal="center" vertical="center" wrapText="1"/>
    </x:xf>
    <x:xf numFmtId="200" fontId="9" fillId="9" borderId="1" xfId="0" applyNumberFormat="1" applyFont="1" applyFill="1" applyBorder="1" applyAlignment="1">
      <x:alignment horizontal="center" vertical="center" wrapText="1"/>
    </x:xf>
    <x:xf numFmtId="200" fontId="5" fillId="4" borderId="1" xfId="0" applyNumberFormat="1" applyFont="1" applyFill="1" applyBorder="1" applyAlignment="1">
      <x:alignment horizontal="center" vertical="center" wrapText="1"/>
    </x:xf>
    <x:xf numFmtId="0" fontId="10" fillId="2" borderId="2" xfId="0" applyNumberFormat="1" applyFont="1" applyFill="1" applyBorder="1" applyAlignment="1">
      <x:alignment vertical="top" wrapText="1"/>
    </x:xf>
    <x:xf numFmtId="0" fontId="10" fillId="2" borderId="3" xfId="0" applyNumberFormat="1" applyFont="1" applyFill="1" applyBorder="1" applyAlignment="1">
      <x:alignment vertical="top" wrapText="1"/>
    </x:xf>
    <x:xf numFmtId="0" fontId="10" fillId="9" borderId="2" xfId="0" applyNumberFormat="1" applyFont="1" applyFill="1" applyBorder="1" applyAlignment="1">
      <x:alignment vertical="top" wrapText="1"/>
    </x:xf>
    <x:xf numFmtId="0" fontId="10" fillId="9" borderId="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203" fontId="1" fillId="2" borderId="0" xfId="0" applyNumberFormat="1" applyFont="1" applyFill="1" applyBorder="1" applyAlignment="1">
      <x:alignment horizontal="center" vertical="center" wrapText="1"/>
    </x:xf>
    <x:xf numFmtId="203" fontId="1" fillId="9" borderId="0" xfId="0" applyNumberFormat="1" applyFont="1" applyFill="1" applyBorder="1" applyAlignment="1">
      <x:alignment horizontal="center" vertical="center" wrapText="1"/>
    </x:xf>
    <x:xf numFmtId="200" fontId="7" fillId="11" borderId="0" xfId="0" applyNumberFormat="1" applyFont="1" applyFill="1" applyBorder="1" applyAlignment="1">
      <x:alignment vertical="top" wrapText="1"/>
    </x:xf>
    <x:xf numFmtId="200" fontId="7" fillId="11" borderId="0" xfId="0" applyNumberFormat="1" applyFont="1" applyFill="1" applyBorder="1" applyAlignment="1">
      <x:alignment horizontal="center" vertical="top" wrapText="1"/>
    </x:xf>
    <x:xf numFmtId="200" fontId="7" fillId="11" borderId="0" xfId="0" applyNumberFormat="1" applyFont="1" applyFill="1" applyBorder="1" applyAlignment="1">
      <x:alignment horizontal="center" vertical="center" wrapText="1"/>
    </x:xf>
    <x:xf numFmtId="200" fontId="7" fillId="5" borderId="0" xfId="0" applyNumberFormat="1" applyFont="1" applyFill="1" applyBorder="1" applyAlignment="1">
      <x:alignment vertical="top" wrapText="1"/>
    </x:xf>
    <x:xf numFmtId="200" fontId="7" fillId="5" borderId="0" xfId="0" applyNumberFormat="1" applyFont="1" applyFill="1" applyBorder="1" applyAlignment="1">
      <x:alignment horizontal="center" vertical="top" wrapText="1"/>
    </x:xf>
    <x:xf numFmtId="200" fontId="7" fillId="5" borderId="0" xfId="0" applyNumberFormat="1" applyFont="1" applyFill="1" applyBorder="1" applyAlignment="1">
      <x:alignment horizontal="center" vertical="center" wrapText="1"/>
    </x:xf>
    <x:xf numFmtId="200" fontId="7" fillId="4" borderId="0" xfId="0" applyNumberFormat="1" applyFont="1" applyFill="1" applyBorder="1" applyAlignment="1">
      <x:alignment vertical="top" wrapText="1"/>
    </x:xf>
    <x:xf numFmtId="200" fontId="7" fillId="4" borderId="0" xfId="0" applyNumberFormat="1" applyFont="1" applyFill="1" applyBorder="1" applyAlignment="1">
      <x:alignment horizontal="center" vertical="top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horizontal="center" vertical="top" wrapText="1"/>
    </x:xf>
    <x:xf numFmtId="201" fontId="1" fillId="9" borderId="0" xfId="0" applyNumberFormat="1" applyFont="1" applyFill="1" applyBorder="1" applyAlignment="1">
      <x:alignment vertical="center" wrapText="1"/>
    </x:xf>
    <x:xf numFmtId="201" fontId="1" fillId="9" borderId="0" xfId="0" applyNumberFormat="1" applyFont="1" applyFill="1" applyBorder="1" applyAlignment="1">
      <x:alignment horizontal="center" vertical="center" wrapText="1"/>
    </x:xf>
    <x:xf numFmtId="0" fontId="10" fillId="2" borderId="0" xfId="0" applyNumberFormat="1" applyFont="1" applyFill="1" applyBorder="1" applyAlignment="1">
      <x:alignment vertical="top" wrapText="1"/>
    </x:xf>
    <x:xf numFmtId="0" fontId="10" fillId="9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top" wrapText="1"/>
    </x:xf>
    <x:xf numFmtId="0" fontId="2" fillId="14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top" wrapText="1"/>
    </x:xf>
    <x:xf numFmtId="0" fontId="1" fillId="16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top" wrapText="1"/>
    </x:xf>
    <x:xf numFmtId="0" fontId="2" fillId="17" borderId="0" xfId="0" applyNumberFormat="1" applyFont="1" applyFill="1" applyBorder="1" applyAlignment="1">
      <x:alignment vertical="top" wrapText="1"/>
    </x:xf>
    <x:xf numFmtId="0" fontId="2" fillId="17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top" wrapText="1"/>
    </x:xf>
    <x:xf numFmtId="0" fontId="2" fillId="18" borderId="0" xfId="0" applyNumberFormat="1" applyFont="1" applyFill="1" applyBorder="1" applyAlignment="1">
      <x:alignment vertical="top" wrapText="1"/>
    </x:xf>
    <x:xf numFmtId="0" fontId="2" fillId="18" borderId="0" xfId="0" applyNumberFormat="1" applyFont="1" applyFill="1" applyBorder="1" applyAlignment="1">
      <x:alignment horizontal="center" vertical="top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1" fillId="13" borderId="18" xfId="0" applyNumberFormat="1" applyFont="1" applyFill="1" applyBorder="1" applyAlignment="1">
      <x:alignment vertical="top" wrapText="1"/>
    </x:xf>
    <x:xf numFmtId="0" fontId="1" fillId="13" borderId="18" xfId="0" applyNumberFormat="1" applyFont="1" applyFill="1" applyBorder="1" applyAlignment="1">
      <x:alignment vertical="center" wrapText="1"/>
    </x:xf>
    <x:xf numFmtId="0" fontId="1" fillId="19" borderId="18" xfId="0" applyNumberFormat="1" applyFont="1" applyFill="1" applyBorder="1" applyAlignment="1">
      <x:alignment vertical="center" wrapText="1"/>
    </x:xf>
    <x:xf numFmtId="0" fontId="4" fillId="19" borderId="18" xfId="0" applyNumberFormat="1" applyFont="1" applyFill="1" applyBorder="1" applyAlignment="1">
      <x:alignment vertical="center" wrapText="1"/>
    </x:xf>
    <x:xf numFmtId="0" fontId="4" fillId="19" borderId="18" xfId="0" applyNumberFormat="1" applyFont="1" applyFill="1" applyBorder="1" applyAlignment="1">
      <x:alignment horizontal="center" vertical="center" wrapText="1"/>
    </x:xf>
    <x:xf numFmtId="0" fontId="1" fillId="20" borderId="0" xfId="0" applyNumberFormat="1" applyFont="1" applyFill="1" applyBorder="1" applyAlignment="1">
      <x:alignment vertical="top" wrapText="1"/>
    </x:xf>
    <x:xf numFmtId="0" fontId="1" fillId="20" borderId="18" xfId="0" applyNumberFormat="1" applyFont="1" applyFill="1" applyBorder="1" applyAlignment="1">
      <x:alignment vertical="top" wrapText="1"/>
    </x:xf>
    <x:xf numFmtId="0" fontId="1" fillId="20" borderId="18" xfId="0" applyNumberFormat="1" applyFont="1" applyFill="1" applyBorder="1" applyAlignment="1">
      <x:alignment vertical="center" wrapText="1"/>
    </x:xf>
    <x:xf numFmtId="201" fontId="4" fillId="19" borderId="18" xfId="0" applyNumberFormat="1" applyFont="1" applyFill="1" applyBorder="1" applyAlignment="1">
      <x:alignment horizontal="center" vertical="center" wrapText="1"/>
    </x:xf>
    <x:xf numFmtId="200" fontId="4" fillId="19" borderId="18" xfId="0" applyNumberFormat="1" applyFont="1" applyFill="1" applyBorder="1" applyAlignment="1">
      <x:alignment horizontal="center" vertical="center" wrapText="1"/>
    </x:xf>
    <x:xf numFmtId="0" fontId="9" fillId="13" borderId="18" xfId="0" applyNumberFormat="1" applyFont="1" applyFill="1" applyBorder="1" applyAlignment="1">
      <x:alignment vertical="center" wrapText="1"/>
    </x:xf>
    <x:xf numFmtId="0" fontId="9" fillId="13" borderId="18" xfId="0" applyNumberFormat="1" applyFont="1" applyFill="1" applyBorder="1" applyAlignment="1">
      <x:alignment horizontal="center" vertical="center" wrapText="1"/>
    </x:xf>
    <x:xf numFmtId="0" fontId="9" fillId="20" borderId="18" xfId="0" applyNumberFormat="1" applyFont="1" applyFill="1" applyBorder="1" applyAlignment="1">
      <x:alignment vertical="center" wrapText="1"/>
    </x:xf>
    <x:xf numFmtId="0" fontId="9" fillId="20" borderId="18" xfId="0" applyNumberFormat="1" applyFont="1" applyFill="1" applyBorder="1" applyAlignment="1">
      <x:alignment horizontal="center" vertical="center" wrapText="1"/>
    </x:xf>
    <x:xf numFmtId="203" fontId="9" fillId="13" borderId="18" xfId="0" applyNumberFormat="1" applyFont="1" applyFill="1" applyBorder="1" applyAlignment="1">
      <x:alignment horizontal="center" vertical="center" wrapText="1"/>
    </x:xf>
    <x:xf numFmtId="203" fontId="9" fillId="20" borderId="18" xfId="0" applyNumberFormat="1" applyFont="1" applyFill="1" applyBorder="1" applyAlignment="1">
      <x:alignment horizontal="center" vertical="center" wrapText="1"/>
    </x:xf>
    <x:xf numFmtId="200" fontId="9" fillId="13" borderId="18" xfId="0" applyNumberFormat="1" applyFont="1" applyFill="1" applyBorder="1" applyAlignment="1">
      <x:alignment horizontal="center" vertical="center" wrapText="1"/>
    </x:xf>
    <x:xf numFmtId="200" fontId="9" fillId="20" borderId="18" xfId="0" applyNumberFormat="1" applyFont="1" applyFill="1" applyBorder="1" applyAlignment="1">
      <x:alignment horizontal="center" vertical="center" wrapText="1"/>
    </x:xf>
    <x:xf numFmtId="0" fontId="1" fillId="19" borderId="18" xfId="0" applyNumberFormat="1" applyFont="1" applyFill="1" applyBorder="1" applyAlignment="1">
      <x:alignment vertical="top" wrapText="1"/>
    </x:xf>
    <x:xf numFmtId="0" fontId="4" fillId="19" borderId="18" xfId="0" applyNumberFormat="1" applyFont="1" applyFill="1" applyBorder="1" applyAlignment="1">
      <x:alignment vertical="top" wrapText="1"/>
    </x:xf>
    <x:xf numFmtId="202" fontId="4" fillId="19" borderId="18" xfId="0" applyNumberFormat="1" applyFont="1" applyFill="1" applyBorder="1" applyAlignment="1">
      <x:alignment vertical="top" wrapText="1"/>
    </x:xf>
    <x:xf numFmtId="202" fontId="4" fillId="19" borderId="18" xfId="0" applyNumberFormat="1" applyFont="1" applyFill="1" applyBorder="1" applyAlignment="1">
      <x:alignment horizontal="center" vertical="top" wrapText="1"/>
    </x:xf>
    <x:xf numFmtId="201" fontId="4" fillId="19" borderId="18" xfId="0" applyNumberFormat="1" applyFont="1" applyFill="1" applyBorder="1" applyAlignment="1">
      <x:alignment horizontal="center" vertical="top" wrapText="1"/>
    </x:xf>
    <x:xf numFmtId="201" fontId="1" fillId="13" borderId="18" xfId="0" applyNumberFormat="1" applyFont="1" applyFill="1" applyBorder="1" applyAlignment="1">
      <x:alignment vertical="top" wrapText="1"/>
    </x:xf>
    <x:xf numFmtId="201" fontId="9" fillId="13" borderId="18" xfId="0" applyNumberFormat="1" applyFont="1" applyFill="1" applyBorder="1" applyAlignment="1">
      <x:alignment vertical="top" wrapText="1"/>
    </x:xf>
    <x:xf numFmtId="0" fontId="9" fillId="13" borderId="18" xfId="0" applyNumberFormat="1" applyFont="1" applyFill="1" applyBorder="1" applyAlignment="1">
      <x:alignment vertical="top" wrapText="1"/>
    </x:xf>
    <x:xf numFmtId="200" fontId="9" fillId="13" borderId="18" xfId="0" applyNumberFormat="1" applyFont="1" applyFill="1" applyBorder="1" applyAlignment="1">
      <x:alignment vertical="top" wrapText="1"/>
    </x:xf>
    <x:xf numFmtId="200" fontId="9" fillId="13" borderId="18" xfId="0" applyNumberFormat="1" applyFont="1" applyFill="1" applyBorder="1" applyAlignment="1">
      <x:alignment horizontal="right" vertical="top" wrapText="1"/>
    </x:xf>
    <x:xf numFmtId="0" fontId="4" fillId="19" borderId="18" xfId="0" applyNumberFormat="1" applyFont="1" applyFill="1" applyBorder="1" applyAlignment="1">
      <x:alignment horizontal="center" vertical="top" wrapText="1"/>
    </x:xf>
    <x:xf numFmtId="201" fontId="1" fillId="20" borderId="18" xfId="0" applyNumberFormat="1" applyFont="1" applyFill="1" applyBorder="1" applyAlignment="1">
      <x:alignment vertical="top" wrapText="1"/>
    </x:xf>
    <x:xf numFmtId="201" fontId="9" fillId="20" borderId="18" xfId="0" applyNumberFormat="1" applyFont="1" applyFill="1" applyBorder="1" applyAlignment="1">
      <x:alignment vertical="top" wrapText="1"/>
    </x:xf>
    <x:xf numFmtId="0" fontId="9" fillId="20" borderId="18" xfId="0" applyNumberFormat="1" applyFont="1" applyFill="1" applyBorder="1" applyAlignment="1">
      <x:alignment vertical="top" wrapText="1"/>
    </x:xf>
    <x:xf numFmtId="200" fontId="9" fillId="20" borderId="18" xfId="0" applyNumberFormat="1" applyFont="1" applyFill="1" applyBorder="1" applyAlignment="1">
      <x:alignment vertical="top" wrapText="1"/>
    </x:xf>
    <x:xf numFmtId="200" fontId="9" fillId="20" borderId="18" xfId="0" applyNumberFormat="1" applyFont="1" applyFill="1" applyBorder="1" applyAlignment="1">
      <x:alignment horizontal="right" vertical="top" wrapText="1"/>
    </x:xf>
    <x:xf numFmtId="202" fontId="1" fillId="13" borderId="18" xfId="0" applyNumberFormat="1" applyFont="1" applyFill="1" applyBorder="1" applyAlignment="1">
      <x:alignment vertical="top" wrapText="1"/>
    </x:xf>
    <x:xf numFmtId="202" fontId="9" fillId="13" borderId="18" xfId="0" applyNumberFormat="1" applyFont="1" applyFill="1" applyBorder="1" applyAlignment="1">
      <x:alignment vertical="top" wrapText="1"/>
    </x:xf>
    <x:xf numFmtId="202" fontId="1" fillId="20" borderId="18" xfId="0" applyNumberFormat="1" applyFont="1" applyFill="1" applyBorder="1" applyAlignment="1">
      <x:alignment vertical="top" wrapText="1"/>
    </x:xf>
    <x:xf numFmtId="202" fontId="9" fillId="20" borderId="18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top" wrapText="1"/>
    </x:xf>
    <x:xf numFmtId="0" fontId="4" fillId="19" borderId="0" xfId="0" applyNumberFormat="1" applyFont="1" applyFill="1" applyBorder="1" applyAlignment="1">
      <x:alignment vertical="top" wrapText="1"/>
    </x:xf>
    <x:xf numFmtId="0" fontId="4" fillId="19" borderId="0" xfId="0" applyNumberFormat="1" applyFont="1" applyFill="1" applyBorder="1" applyAlignment="1">
      <x:alignment horizontal="center" vertical="top" wrapText="1"/>
    </x:xf>
    <x:xf numFmtId="0" fontId="7" fillId="15" borderId="0" xfId="0" applyNumberFormat="1" applyFont="1" applyFill="1" applyBorder="1" applyAlignment="1">
      <x:alignment vertical="top" wrapText="1"/>
    </x:xf>
    <x:xf numFmtId="0" fontId="7" fillId="15" borderId="19" xfId="0" applyNumberFormat="1" applyFont="1" applyFill="1" applyBorder="1" applyAlignment="1">
      <x:alignment vertical="top" wrapText="1"/>
    </x:xf>
    <x:xf numFmtId="0" fontId="7" fillId="15" borderId="20" xfId="0" applyNumberFormat="1" applyFont="1" applyFill="1" applyBorder="1" applyAlignment="1">
      <x:alignment vertical="top" wrapText="1"/>
    </x:xf>
    <x:xf numFmtId="0" fontId="7" fillId="15" borderId="21" xfId="0" applyNumberFormat="1" applyFont="1" applyFill="1" applyBorder="1" applyAlignment="1">
      <x:alignment vertical="top" wrapText="1"/>
    </x:xf>
    <x:xf numFmtId="0" fontId="7" fillId="15" borderId="22" xfId="0" applyNumberFormat="1" applyFont="1" applyFill="1" applyBorder="1" applyAlignment="1">
      <x:alignment vertical="top" wrapText="1"/>
    </x:xf>
    <x:xf numFmtId="0" fontId="7" fillId="15" borderId="23" xfId="0" applyNumberFormat="1" applyFont="1" applyFill="1" applyBorder="1" applyAlignment="1">
      <x:alignment vertical="top" wrapText="1"/>
    </x:xf>
    <x:xf numFmtId="0" fontId="7" fillId="15" borderId="24" xfId="0" applyNumberFormat="1" applyFont="1" applyFill="1" applyBorder="1" applyAlignment="1">
      <x:alignment vertical="top" wrapText="1"/>
    </x:xf>
    <x:xf numFmtId="200" fontId="7" fillId="15" borderId="19" xfId="0" applyNumberFormat="1" applyFont="1" applyFill="1" applyBorder="1" applyAlignment="1">
      <x:alignment vertical="top" wrapText="1"/>
    </x:xf>
    <x:xf numFmtId="200" fontId="7" fillId="15" borderId="20" xfId="0" applyNumberFormat="1" applyFont="1" applyFill="1" applyBorder="1" applyAlignment="1">
      <x:alignment vertical="top" wrapText="1"/>
    </x:xf>
    <x:xf numFmtId="200" fontId="7" fillId="15" borderId="21" xfId="0" applyNumberFormat="1" applyFont="1" applyFill="1" applyBorder="1" applyAlignment="1">
      <x:alignment vertical="top" wrapText="1"/>
    </x:xf>
    <x:xf numFmtId="200" fontId="7" fillId="15" borderId="22" xfId="0" applyNumberFormat="1" applyFont="1" applyFill="1" applyBorder="1" applyAlignment="1">
      <x:alignment vertical="top" wrapText="1"/>
    </x:xf>
    <x:xf numFmtId="200" fontId="7" fillId="15" borderId="23" xfId="0" applyNumberFormat="1" applyFont="1" applyFill="1" applyBorder="1" applyAlignment="1">
      <x:alignment vertical="top" wrapText="1"/>
    </x:xf>
    <x:xf numFmtId="200" fontId="7" fillId="15" borderId="24" xfId="0" applyNumberFormat="1" applyFont="1" applyFill="1" applyBorder="1" applyAlignment="1">
      <x:alignment vertical="top" wrapText="1"/>
    </x:xf>
    <x:xf numFmtId="200" fontId="7" fillId="15" borderId="19" xfId="0" applyNumberFormat="1" applyFont="1" applyFill="1" applyBorder="1" applyAlignment="1">
      <x:alignment horizontal="center" vertical="top" wrapText="1"/>
    </x:xf>
    <x:xf numFmtId="200" fontId="7" fillId="15" borderId="20" xfId="0" applyNumberFormat="1" applyFont="1" applyFill="1" applyBorder="1" applyAlignment="1">
      <x:alignment horizontal="center" vertical="top" wrapText="1"/>
    </x:xf>
    <x:xf numFmtId="200" fontId="7" fillId="15" borderId="21" xfId="0" applyNumberFormat="1" applyFont="1" applyFill="1" applyBorder="1" applyAlignment="1">
      <x:alignment horizontal="center" vertical="top" wrapText="1"/>
    </x:xf>
    <x:xf numFmtId="200" fontId="7" fillId="15" borderId="22" xfId="0" applyNumberFormat="1" applyFont="1" applyFill="1" applyBorder="1" applyAlignment="1">
      <x:alignment horizontal="center" vertical="top" wrapText="1"/>
    </x:xf>
    <x:xf numFmtId="200" fontId="7" fillId="15" borderId="23" xfId="0" applyNumberFormat="1" applyFont="1" applyFill="1" applyBorder="1" applyAlignment="1">
      <x:alignment horizontal="center" vertical="top" wrapText="1"/>
    </x:xf>
    <x:xf numFmtId="200" fontId="7" fillId="15" borderId="24" xfId="0" applyNumberFormat="1" applyFont="1" applyFill="1" applyBorder="1" applyAlignment="1">
      <x:alignment horizontal="center" vertical="top" wrapText="1"/>
    </x:xf>
    <x:xf numFmtId="200" fontId="7" fillId="15" borderId="19" xfId="0" applyNumberFormat="1" applyFont="1" applyFill="1" applyBorder="1" applyAlignment="1">
      <x:alignment horizontal="center" vertical="center" wrapText="1"/>
    </x:xf>
    <x:xf numFmtId="200" fontId="7" fillId="15" borderId="20" xfId="0" applyNumberFormat="1" applyFont="1" applyFill="1" applyBorder="1" applyAlignment="1">
      <x:alignment horizontal="center" vertical="center" wrapText="1"/>
    </x:xf>
    <x:xf numFmtId="200" fontId="7" fillId="15" borderId="21" xfId="0" applyNumberFormat="1" applyFont="1" applyFill="1" applyBorder="1" applyAlignment="1">
      <x:alignment horizontal="center" vertical="center" wrapText="1"/>
    </x:xf>
    <x:xf numFmtId="200" fontId="7" fillId="15" borderId="22" xfId="0" applyNumberFormat="1" applyFont="1" applyFill="1" applyBorder="1" applyAlignment="1">
      <x:alignment horizontal="center" vertical="center" wrapText="1"/>
    </x:xf>
    <x:xf numFmtId="200" fontId="7" fillId="15" borderId="23" xfId="0" applyNumberFormat="1" applyFont="1" applyFill="1" applyBorder="1" applyAlignment="1">
      <x:alignment horizontal="center" vertical="center" wrapText="1"/>
    </x:xf>
    <x:xf numFmtId="200" fontId="7" fillId="15" borderId="24" xfId="0" applyNumberFormat="1" applyFont="1" applyFill="1" applyBorder="1" applyAlignment="1">
      <x:alignment horizontal="center" vertical="center" wrapText="1"/>
    </x:xf>
    <x:xf numFmtId="0" fontId="7" fillId="16" borderId="0" xfId="0" applyNumberFormat="1" applyFont="1" applyFill="1" applyBorder="1" applyAlignment="1">
      <x:alignment vertical="top" wrapText="1"/>
    </x:xf>
    <x:xf numFmtId="0" fontId="7" fillId="16" borderId="19" xfId="0" applyNumberFormat="1" applyFont="1" applyFill="1" applyBorder="1" applyAlignment="1">
      <x:alignment vertical="top" wrapText="1"/>
    </x:xf>
    <x:xf numFmtId="0" fontId="7" fillId="16" borderId="20" xfId="0" applyNumberFormat="1" applyFont="1" applyFill="1" applyBorder="1" applyAlignment="1">
      <x:alignment vertical="top" wrapText="1"/>
    </x:xf>
    <x:xf numFmtId="0" fontId="7" fillId="16" borderId="21" xfId="0" applyNumberFormat="1" applyFont="1" applyFill="1" applyBorder="1" applyAlignment="1">
      <x:alignment vertical="top" wrapText="1"/>
    </x:xf>
    <x:xf numFmtId="0" fontId="7" fillId="16" borderId="22" xfId="0" applyNumberFormat="1" applyFont="1" applyFill="1" applyBorder="1" applyAlignment="1">
      <x:alignment vertical="top" wrapText="1"/>
    </x:xf>
    <x:xf numFmtId="0" fontId="7" fillId="16" borderId="23" xfId="0" applyNumberFormat="1" applyFont="1" applyFill="1" applyBorder="1" applyAlignment="1">
      <x:alignment vertical="top" wrapText="1"/>
    </x:xf>
    <x:xf numFmtId="0" fontId="7" fillId="16" borderId="24" xfId="0" applyNumberFormat="1" applyFont="1" applyFill="1" applyBorder="1" applyAlignment="1">
      <x:alignment vertical="top" wrapText="1"/>
    </x:xf>
    <x:xf numFmtId="201" fontId="7" fillId="16" borderId="19" xfId="0" applyNumberFormat="1" applyFont="1" applyFill="1" applyBorder="1" applyAlignment="1">
      <x:alignment vertical="top" wrapText="1"/>
    </x:xf>
    <x:xf numFmtId="201" fontId="7" fillId="16" borderId="20" xfId="0" applyNumberFormat="1" applyFont="1" applyFill="1" applyBorder="1" applyAlignment="1">
      <x:alignment vertical="top" wrapText="1"/>
    </x:xf>
    <x:xf numFmtId="201" fontId="7" fillId="16" borderId="21" xfId="0" applyNumberFormat="1" applyFont="1" applyFill="1" applyBorder="1" applyAlignment="1">
      <x:alignment vertical="top" wrapText="1"/>
    </x:xf>
    <x:xf numFmtId="201" fontId="7" fillId="16" borderId="22" xfId="0" applyNumberFormat="1" applyFont="1" applyFill="1" applyBorder="1" applyAlignment="1">
      <x:alignment vertical="top" wrapText="1"/>
    </x:xf>
    <x:xf numFmtId="201" fontId="7" fillId="16" borderId="23" xfId="0" applyNumberFormat="1" applyFont="1" applyFill="1" applyBorder="1" applyAlignment="1">
      <x:alignment vertical="top" wrapText="1"/>
    </x:xf>
    <x:xf numFmtId="201" fontId="7" fillId="16" borderId="24" xfId="0" applyNumberFormat="1" applyFont="1" applyFill="1" applyBorder="1" applyAlignment="1">
      <x:alignment vertical="top" wrapText="1"/>
    </x:xf>
    <x:xf numFmtId="201" fontId="7" fillId="16" borderId="19" xfId="0" applyNumberFormat="1" applyFont="1" applyFill="1" applyBorder="1" applyAlignment="1">
      <x:alignment horizontal="center" vertical="top" wrapText="1"/>
    </x:xf>
    <x:xf numFmtId="201" fontId="7" fillId="16" borderId="20" xfId="0" applyNumberFormat="1" applyFont="1" applyFill="1" applyBorder="1" applyAlignment="1">
      <x:alignment horizontal="center" vertical="top" wrapText="1"/>
    </x:xf>
    <x:xf numFmtId="201" fontId="7" fillId="16" borderId="21" xfId="0" applyNumberFormat="1" applyFont="1" applyFill="1" applyBorder="1" applyAlignment="1">
      <x:alignment horizontal="center" vertical="top" wrapText="1"/>
    </x:xf>
    <x:xf numFmtId="201" fontId="7" fillId="16" borderId="22" xfId="0" applyNumberFormat="1" applyFont="1" applyFill="1" applyBorder="1" applyAlignment="1">
      <x:alignment horizontal="center" vertical="top" wrapText="1"/>
    </x:xf>
    <x:xf numFmtId="201" fontId="7" fillId="16" borderId="23" xfId="0" applyNumberFormat="1" applyFont="1" applyFill="1" applyBorder="1" applyAlignment="1">
      <x:alignment horizontal="center" vertical="top" wrapText="1"/>
    </x:xf>
    <x:xf numFmtId="201" fontId="7" fillId="16" borderId="24" xfId="0" applyNumberFormat="1" applyFont="1" applyFill="1" applyBorder="1" applyAlignment="1">
      <x:alignment horizontal="center" vertical="top" wrapText="1"/>
    </x:xf>
    <x:xf numFmtId="201" fontId="7" fillId="16" borderId="19" xfId="0" applyNumberFormat="1" applyFont="1" applyFill="1" applyBorder="1" applyAlignment="1">
      <x:alignment horizontal="center" vertical="center" wrapText="1"/>
    </x:xf>
    <x:xf numFmtId="201" fontId="7" fillId="16" borderId="20" xfId="0" applyNumberFormat="1" applyFont="1" applyFill="1" applyBorder="1" applyAlignment="1">
      <x:alignment horizontal="center" vertical="center" wrapText="1"/>
    </x:xf>
    <x:xf numFmtId="201" fontId="7" fillId="16" borderId="21" xfId="0" applyNumberFormat="1" applyFont="1" applyFill="1" applyBorder="1" applyAlignment="1">
      <x:alignment horizontal="center" vertical="center" wrapText="1"/>
    </x:xf>
    <x:xf numFmtId="201" fontId="7" fillId="16" borderId="22" xfId="0" applyNumberFormat="1" applyFont="1" applyFill="1" applyBorder="1" applyAlignment="1">
      <x:alignment horizontal="center" vertical="center" wrapText="1"/>
    </x:xf>
    <x:xf numFmtId="201" fontId="7" fillId="16" borderId="23" xfId="0" applyNumberFormat="1" applyFont="1" applyFill="1" applyBorder="1" applyAlignment="1">
      <x:alignment horizontal="center" vertical="center" wrapText="1"/>
    </x:xf>
    <x:xf numFmtId="201" fontId="7" fillId="16" borderId="24" xfId="0" applyNumberFormat="1" applyFont="1" applyFill="1" applyBorder="1" applyAlignment="1">
      <x:alignment horizontal="center" vertical="center" wrapText="1"/>
    </x:xf>
    <x:xf numFmtId="0" fontId="7" fillId="21" borderId="0" xfId="0" applyNumberFormat="1" applyFont="1" applyFill="1" applyBorder="1" applyAlignment="1">
      <x:alignment vertical="top" wrapText="1"/>
    </x:xf>
    <x:xf numFmtId="0" fontId="7" fillId="21" borderId="19" xfId="0" applyNumberFormat="1" applyFont="1" applyFill="1" applyBorder="1" applyAlignment="1">
      <x:alignment vertical="top" wrapText="1"/>
    </x:xf>
    <x:xf numFmtId="0" fontId="7" fillId="21" borderId="20" xfId="0" applyNumberFormat="1" applyFont="1" applyFill="1" applyBorder="1" applyAlignment="1">
      <x:alignment vertical="top" wrapText="1"/>
    </x:xf>
    <x:xf numFmtId="0" fontId="7" fillId="21" borderId="21" xfId="0" applyNumberFormat="1" applyFont="1" applyFill="1" applyBorder="1" applyAlignment="1">
      <x:alignment vertical="top" wrapText="1"/>
    </x:xf>
    <x:xf numFmtId="0" fontId="7" fillId="21" borderId="22" xfId="0" applyNumberFormat="1" applyFont="1" applyFill="1" applyBorder="1" applyAlignment="1">
      <x:alignment vertical="top" wrapText="1"/>
    </x:xf>
    <x:xf numFmtId="0" fontId="7" fillId="21" borderId="23" xfId="0" applyNumberFormat="1" applyFont="1" applyFill="1" applyBorder="1" applyAlignment="1">
      <x:alignment vertical="top" wrapText="1"/>
    </x:xf>
    <x:xf numFmtId="0" fontId="7" fillId="21" borderId="24" xfId="0" applyNumberFormat="1" applyFont="1" applyFill="1" applyBorder="1" applyAlignment="1">
      <x:alignment vertical="top" wrapText="1"/>
    </x:xf>
    <x:xf numFmtId="203" fontId="7" fillId="21" borderId="19" xfId="0" applyNumberFormat="1" applyFont="1" applyFill="1" applyBorder="1" applyAlignment="1">
      <x:alignment vertical="top" wrapText="1"/>
    </x:xf>
    <x:xf numFmtId="203" fontId="7" fillId="21" borderId="20" xfId="0" applyNumberFormat="1" applyFont="1" applyFill="1" applyBorder="1" applyAlignment="1">
      <x:alignment vertical="top" wrapText="1"/>
    </x:xf>
    <x:xf numFmtId="203" fontId="7" fillId="21" borderId="21" xfId="0" applyNumberFormat="1" applyFont="1" applyFill="1" applyBorder="1" applyAlignment="1">
      <x:alignment vertical="top" wrapText="1"/>
    </x:xf>
    <x:xf numFmtId="203" fontId="7" fillId="21" borderId="22" xfId="0" applyNumberFormat="1" applyFont="1" applyFill="1" applyBorder="1" applyAlignment="1">
      <x:alignment vertical="top" wrapText="1"/>
    </x:xf>
    <x:xf numFmtId="203" fontId="7" fillId="21" borderId="23" xfId="0" applyNumberFormat="1" applyFont="1" applyFill="1" applyBorder="1" applyAlignment="1">
      <x:alignment vertical="top" wrapText="1"/>
    </x:xf>
    <x:xf numFmtId="203" fontId="7" fillId="21" borderId="24" xfId="0" applyNumberFormat="1" applyFont="1" applyFill="1" applyBorder="1" applyAlignment="1">
      <x:alignment vertical="top" wrapText="1"/>
    </x:xf>
    <x:xf numFmtId="203" fontId="7" fillId="21" borderId="19" xfId="0" applyNumberFormat="1" applyFont="1" applyFill="1" applyBorder="1" applyAlignment="1">
      <x:alignment horizontal="center" vertical="top" wrapText="1"/>
    </x:xf>
    <x:xf numFmtId="203" fontId="7" fillId="21" borderId="20" xfId="0" applyNumberFormat="1" applyFont="1" applyFill="1" applyBorder="1" applyAlignment="1">
      <x:alignment horizontal="center" vertical="top" wrapText="1"/>
    </x:xf>
    <x:xf numFmtId="203" fontId="7" fillId="21" borderId="21" xfId="0" applyNumberFormat="1" applyFont="1" applyFill="1" applyBorder="1" applyAlignment="1">
      <x:alignment horizontal="center" vertical="top" wrapText="1"/>
    </x:xf>
    <x:xf numFmtId="203" fontId="7" fillId="21" borderId="22" xfId="0" applyNumberFormat="1" applyFont="1" applyFill="1" applyBorder="1" applyAlignment="1">
      <x:alignment horizontal="center" vertical="top" wrapText="1"/>
    </x:xf>
    <x:xf numFmtId="203" fontId="7" fillId="21" borderId="23" xfId="0" applyNumberFormat="1" applyFont="1" applyFill="1" applyBorder="1" applyAlignment="1">
      <x:alignment horizontal="center" vertical="top" wrapText="1"/>
    </x:xf>
    <x:xf numFmtId="203" fontId="7" fillId="21" borderId="24" xfId="0" applyNumberFormat="1" applyFont="1" applyFill="1" applyBorder="1" applyAlignment="1">
      <x:alignment horizontal="center" vertical="top" wrapText="1"/>
    </x:xf>
    <x:xf numFmtId="203" fontId="7" fillId="21" borderId="19" xfId="0" applyNumberFormat="1" applyFont="1" applyFill="1" applyBorder="1" applyAlignment="1">
      <x:alignment horizontal="center" vertical="center" wrapText="1"/>
    </x:xf>
    <x:xf numFmtId="203" fontId="7" fillId="21" borderId="20" xfId="0" applyNumberFormat="1" applyFont="1" applyFill="1" applyBorder="1" applyAlignment="1">
      <x:alignment horizontal="center" vertical="center" wrapText="1"/>
    </x:xf>
    <x:xf numFmtId="203" fontId="7" fillId="21" borderId="21" xfId="0" applyNumberFormat="1" applyFont="1" applyFill="1" applyBorder="1" applyAlignment="1">
      <x:alignment horizontal="center" vertical="center" wrapText="1"/>
    </x:xf>
    <x:xf numFmtId="203" fontId="7" fillId="21" borderId="22" xfId="0" applyNumberFormat="1" applyFont="1" applyFill="1" applyBorder="1" applyAlignment="1">
      <x:alignment horizontal="center" vertical="center" wrapText="1"/>
    </x:xf>
    <x:xf numFmtId="203" fontId="7" fillId="21" borderId="23" xfId="0" applyNumberFormat="1" applyFont="1" applyFill="1" applyBorder="1" applyAlignment="1">
      <x:alignment horizontal="center" vertical="center" wrapText="1"/>
    </x:xf>
    <x:xf numFmtId="203" fontId="7" fillId="21" borderId="24" xfId="0" applyNumberFormat="1" applyFont="1" applyFill="1" applyBorder="1" applyAlignment="1">
      <x:alignment horizontal="center" vertical="center" wrapText="1"/>
    </x:xf>
    <x:xf numFmtId="0" fontId="1" fillId="22" borderId="0" xfId="0" applyNumberFormat="1" applyFont="1" applyFill="1" applyBorder="1" applyAlignment="1">
      <x:alignment vertical="top" wrapText="1"/>
    </x:xf>
    <x:xf numFmtId="0" fontId="7" fillId="22" borderId="0" xfId="0" applyNumberFormat="1" applyFont="1" applyFill="1" applyBorder="1" applyAlignment="1">
      <x:alignment vertical="top" wrapText="1"/>
    </x:xf>
    <x:xf numFmtId="0" fontId="7" fillId="22" borderId="19" xfId="0" applyNumberFormat="1" applyFont="1" applyFill="1" applyBorder="1" applyAlignment="1">
      <x:alignment vertical="top" wrapText="1"/>
    </x:xf>
    <x:xf numFmtId="0" fontId="7" fillId="22" borderId="20" xfId="0" applyNumberFormat="1" applyFont="1" applyFill="1" applyBorder="1" applyAlignment="1">
      <x:alignment vertical="top" wrapText="1"/>
    </x:xf>
    <x:xf numFmtId="0" fontId="7" fillId="22" borderId="21" xfId="0" applyNumberFormat="1" applyFont="1" applyFill="1" applyBorder="1" applyAlignment="1">
      <x:alignment vertical="top" wrapText="1"/>
    </x:xf>
    <x:xf numFmtId="0" fontId="7" fillId="22" borderId="22" xfId="0" applyNumberFormat="1" applyFont="1" applyFill="1" applyBorder="1" applyAlignment="1">
      <x:alignment vertical="top" wrapText="1"/>
    </x:xf>
    <x:xf numFmtId="0" fontId="7" fillId="22" borderId="23" xfId="0" applyNumberFormat="1" applyFont="1" applyFill="1" applyBorder="1" applyAlignment="1">
      <x:alignment vertical="top" wrapText="1"/>
    </x:xf>
    <x:xf numFmtId="0" fontId="7" fillId="22" borderId="24" xfId="0" applyNumberFormat="1" applyFont="1" applyFill="1" applyBorder="1" applyAlignment="1">
      <x:alignment vertical="top" wrapText="1"/>
    </x:xf>
    <x:xf numFmtId="204" fontId="7" fillId="22" borderId="19" xfId="0" applyNumberFormat="1" applyFont="1" applyFill="1" applyBorder="1" applyAlignment="1">
      <x:alignment vertical="top" wrapText="1"/>
    </x:xf>
    <x:xf numFmtId="204" fontId="7" fillId="22" borderId="20" xfId="0" applyNumberFormat="1" applyFont="1" applyFill="1" applyBorder="1" applyAlignment="1">
      <x:alignment vertical="top" wrapText="1"/>
    </x:xf>
    <x:xf numFmtId="204" fontId="7" fillId="22" borderId="21" xfId="0" applyNumberFormat="1" applyFont="1" applyFill="1" applyBorder="1" applyAlignment="1">
      <x:alignment vertical="top" wrapText="1"/>
    </x:xf>
    <x:xf numFmtId="204" fontId="7" fillId="22" borderId="22" xfId="0" applyNumberFormat="1" applyFont="1" applyFill="1" applyBorder="1" applyAlignment="1">
      <x:alignment vertical="top" wrapText="1"/>
    </x:xf>
    <x:xf numFmtId="204" fontId="7" fillId="22" borderId="23" xfId="0" applyNumberFormat="1" applyFont="1" applyFill="1" applyBorder="1" applyAlignment="1">
      <x:alignment vertical="top" wrapText="1"/>
    </x:xf>
    <x:xf numFmtId="204" fontId="7" fillId="22" borderId="24" xfId="0" applyNumberFormat="1" applyFont="1" applyFill="1" applyBorder="1" applyAlignment="1">
      <x:alignment vertical="top" wrapText="1"/>
    </x:xf>
    <x:xf numFmtId="204" fontId="7" fillId="22" borderId="19" xfId="0" applyNumberFormat="1" applyFont="1" applyFill="1" applyBorder="1" applyAlignment="1">
      <x:alignment horizontal="center" vertical="top" wrapText="1"/>
    </x:xf>
    <x:xf numFmtId="204" fontId="7" fillId="22" borderId="20" xfId="0" applyNumberFormat="1" applyFont="1" applyFill="1" applyBorder="1" applyAlignment="1">
      <x:alignment horizontal="center" vertical="top" wrapText="1"/>
    </x:xf>
    <x:xf numFmtId="204" fontId="7" fillId="22" borderId="21" xfId="0" applyNumberFormat="1" applyFont="1" applyFill="1" applyBorder="1" applyAlignment="1">
      <x:alignment horizontal="center" vertical="top" wrapText="1"/>
    </x:xf>
    <x:xf numFmtId="204" fontId="7" fillId="22" borderId="22" xfId="0" applyNumberFormat="1" applyFont="1" applyFill="1" applyBorder="1" applyAlignment="1">
      <x:alignment horizontal="center" vertical="top" wrapText="1"/>
    </x:xf>
    <x:xf numFmtId="204" fontId="7" fillId="22" borderId="23" xfId="0" applyNumberFormat="1" applyFont="1" applyFill="1" applyBorder="1" applyAlignment="1">
      <x:alignment horizontal="center" vertical="top" wrapText="1"/>
    </x:xf>
    <x:xf numFmtId="204" fontId="7" fillId="22" borderId="24" xfId="0" applyNumberFormat="1" applyFont="1" applyFill="1" applyBorder="1" applyAlignment="1">
      <x:alignment horizontal="center" vertical="top" wrapText="1"/>
    </x:xf>
    <x:xf numFmtId="204" fontId="7" fillId="22" borderId="19" xfId="0" applyNumberFormat="1" applyFont="1" applyFill="1" applyBorder="1" applyAlignment="1">
      <x:alignment horizontal="center" vertical="center" wrapText="1"/>
    </x:xf>
    <x:xf numFmtId="204" fontId="7" fillId="22" borderId="20" xfId="0" applyNumberFormat="1" applyFont="1" applyFill="1" applyBorder="1" applyAlignment="1">
      <x:alignment horizontal="center" vertical="center" wrapText="1"/>
    </x:xf>
    <x:xf numFmtId="204" fontId="7" fillId="22" borderId="21" xfId="0" applyNumberFormat="1" applyFont="1" applyFill="1" applyBorder="1" applyAlignment="1">
      <x:alignment horizontal="center" vertical="center" wrapText="1"/>
    </x:xf>
    <x:xf numFmtId="204" fontId="7" fillId="22" borderId="22" xfId="0" applyNumberFormat="1" applyFont="1" applyFill="1" applyBorder="1" applyAlignment="1">
      <x:alignment horizontal="center" vertical="center" wrapText="1"/>
    </x:xf>
    <x:xf numFmtId="204" fontId="7" fillId="22" borderId="23" xfId="0" applyNumberFormat="1" applyFont="1" applyFill="1" applyBorder="1" applyAlignment="1">
      <x:alignment horizontal="center" vertical="center" wrapText="1"/>
    </x:xf>
    <x:xf numFmtId="204" fontId="7" fillId="22" borderId="24" xfId="0" applyNumberFormat="1" applyFont="1" applyFill="1" applyBorder="1" applyAlignment="1">
      <x:alignment horizontal="center" vertical="center" wrapText="1"/>
    </x:xf>
    <x:xf numFmtId="200" fontId="1" fillId="20" borderId="18" xfId="0" applyNumberFormat="1" applyFont="1" applyFill="1" applyBorder="1" applyAlignment="1">
      <x:alignment vertical="center" wrapText="1"/>
    </x:xf>
    <x:xf numFmtId="200" fontId="1" fillId="20" borderId="18" xfId="0" applyNumberFormat="1" applyFont="1" applyFill="1" applyBorder="1" applyAlignment="1">
      <x:alignment horizontal="center" vertical="center" wrapText="1"/>
    </x:xf>
    <x:xf numFmtId="200" fontId="1" fillId="13" borderId="18" xfId="0" applyNumberFormat="1" applyFont="1" applyFill="1" applyBorder="1" applyAlignment="1">
      <x:alignment vertical="center" wrapText="1"/>
    </x:xf>
    <x:xf numFmtId="200" fontId="1" fillId="13" borderId="18" xfId="0" applyNumberFormat="1" applyFont="1" applyFill="1" applyBorder="1" applyAlignment="1">
      <x:alignment horizontal="center" vertical="center" wrapText="1"/>
    </x:xf>
    <x:xf numFmtId="0" fontId="7" fillId="15" borderId="25" xfId="0" applyNumberFormat="1" applyFont="1" applyFill="1" applyBorder="1" applyAlignment="1">
      <x:alignment vertical="top" wrapText="1"/>
    </x:xf>
    <x:xf numFmtId="0" fontId="7" fillId="15" borderId="25" xfId="0" applyNumberFormat="1" applyFont="1" applyFill="1" applyBorder="1" applyAlignment="1">
      <x:alignment vertical="center" wrapText="1"/>
    </x:xf>
    <x:xf numFmtId="200" fontId="7" fillId="15" borderId="25" xfId="0" applyNumberFormat="1" applyFont="1" applyFill="1" applyBorder="1" applyAlignment="1">
      <x:alignment vertical="center" wrapText="1"/>
    </x:xf>
    <x:xf numFmtId="200" fontId="7" fillId="15" borderId="25" xfId="0" applyNumberFormat="1" applyFont="1" applyFill="1" applyBorder="1" applyAlignment="1">
      <x:alignment horizontal="center" vertical="center" wrapText="1"/>
    </x:xf>
    <x:xf numFmtId="0" fontId="5" fillId="13" borderId="18" xfId="0" applyNumberFormat="1" applyFont="1" applyFill="1" applyBorder="1" applyAlignment="1">
      <x:alignment vertical="center" wrapText="1"/>
    </x:xf>
    <x:xf numFmtId="0" fontId="5" fillId="13" borderId="18" xfId="0" applyNumberFormat="1" applyFont="1" applyFill="1" applyBorder="1" applyAlignment="1">
      <x:alignment horizontal="center" vertical="center" wrapText="1"/>
    </x:xf>
    <x:xf numFmtId="0" fontId="5" fillId="20" borderId="18" xfId="0" applyNumberFormat="1" applyFont="1" applyFill="1" applyBorder="1" applyAlignment="1">
      <x:alignment vertical="center" wrapText="1"/>
    </x:xf>
    <x:xf numFmtId="0" fontId="5" fillId="20" borderId="18" xfId="0" applyNumberFormat="1" applyFont="1" applyFill="1" applyBorder="1" applyAlignment="1">
      <x:alignment horizontal="center" vertical="center" wrapText="1"/>
    </x:xf>
    <x:xf numFmtId="203" fontId="5" fillId="13" borderId="18" xfId="0" applyNumberFormat="1" applyFont="1" applyFill="1" applyBorder="1" applyAlignment="1">
      <x:alignment horizontal="center" vertical="center" wrapText="1"/>
    </x:xf>
    <x:xf numFmtId="201" fontId="5" fillId="20" borderId="18" xfId="0" applyNumberFormat="1" applyFont="1" applyFill="1" applyBorder="1" applyAlignment="1">
      <x:alignment horizontal="center" vertical="center" wrapText="1"/>
    </x:xf>
    <x:xf numFmtId="203" fontId="5" fillId="20" borderId="18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horizontal="center" vertical="center" wrapText="1"/>
    </x:xf>
    <x:xf numFmtId="0" fontId="1" fillId="20" borderId="0" xfId="0" applyNumberFormat="1" applyFont="1" applyFill="1" applyBorder="1" applyAlignment="1">
      <x:alignment vertical="center" wrapText="1"/>
    </x:xf>
    <x:xf numFmtId="200" fontId="1" fillId="20" borderId="0" xfId="0" applyNumberFormat="1" applyFont="1" applyFill="1" applyBorder="1" applyAlignment="1">
      <x:alignment vertical="center" wrapText="1"/>
    </x:xf>
    <x:xf numFmtId="200" fontId="1" fillId="20" borderId="0" xfId="0" applyNumberFormat="1" applyFont="1" applyFill="1" applyBorder="1" applyAlignment="1">
      <x:alignment horizontal="center" vertical="center" wrapText="1"/>
    </x:xf>
    <x:xf numFmtId="0" fontId="11" fillId="13" borderId="0" xfId="0" applyNumberFormat="1" applyFont="1" applyFill="1" applyBorder="1" applyAlignment="1">
      <x:alignment vertical="top" wrapText="1"/>
    </x:xf>
    <x:xf numFmtId="0" fontId="11" fillId="13" borderId="18" xfId="0" applyNumberFormat="1" applyFont="1" applyFill="1" applyBorder="1" applyAlignment="1">
      <x:alignment vertical="top" wrapText="1"/>
    </x:xf>
    <x:xf numFmtId="0" fontId="11" fillId="13" borderId="18" xfId="0" applyNumberFormat="1" applyFont="1" applyFill="1" applyBorder="1" applyAlignment="1">
      <x:alignment vertical="center" wrapText="1"/>
    </x:xf>
    <x:xf numFmtId="200" fontId="11" fillId="13" borderId="18" xfId="0" applyNumberFormat="1" applyFont="1" applyFill="1" applyBorder="1" applyAlignment="1">
      <x:alignment vertical="center" wrapText="1"/>
    </x:xf>
    <x:xf numFmtId="200" fontId="11" fillId="13" borderId="18" xfId="0" applyNumberFormat="1" applyFont="1" applyFill="1" applyBorder="1" applyAlignment="1">
      <x:alignment horizontal="center" vertical="center" wrapText="1"/>
    </x:xf>
    <x:xf numFmtId="0" fontId="11" fillId="20" borderId="0" xfId="0" applyNumberFormat="1" applyFont="1" applyFill="1" applyBorder="1" applyAlignment="1">
      <x:alignment vertical="top" wrapText="1"/>
    </x:xf>
    <x:xf numFmtId="0" fontId="11" fillId="20" borderId="18" xfId="0" applyNumberFormat="1" applyFont="1" applyFill="1" applyBorder="1" applyAlignment="1">
      <x:alignment vertical="top" wrapText="1"/>
    </x:xf>
    <x:xf numFmtId="0" fontId="11" fillId="20" borderId="18" xfId="0" applyNumberFormat="1" applyFont="1" applyFill="1" applyBorder="1" applyAlignment="1">
      <x:alignment vertical="center" wrapText="1"/>
    </x:xf>
    <x:xf numFmtId="200" fontId="11" fillId="20" borderId="18" xfId="0" applyNumberFormat="1" applyFont="1" applyFill="1" applyBorder="1" applyAlignment="1">
      <x:alignment vertical="center" wrapText="1"/>
    </x:xf>
    <x:xf numFmtId="200" fontId="11" fillId="20" borderId="18" xfId="0" applyNumberFormat="1" applyFont="1" applyFill="1" applyBorder="1" applyAlignment="1">
      <x:alignment horizontal="center" vertical="center" wrapText="1"/>
    </x:xf>
    <x:xf numFmtId="0" fontId="7" fillId="15" borderId="18" xfId="0" applyNumberFormat="1" applyFont="1" applyFill="1" applyBorder="1" applyAlignment="1">
      <x:alignment vertical="top" wrapText="1"/>
    </x:xf>
    <x:xf numFmtId="0" fontId="7" fillId="15" borderId="18" xfId="0" applyNumberFormat="1" applyFont="1" applyFill="1" applyBorder="1" applyAlignment="1">
      <x:alignment vertical="center" wrapText="1"/>
    </x:xf>
    <x:xf numFmtId="200" fontId="7" fillId="15" borderId="18" xfId="0" applyNumberFormat="1" applyFont="1" applyFill="1" applyBorder="1" applyAlignment="1">
      <x:alignment vertical="center" wrapText="1"/>
    </x:xf>
    <x:xf numFmtId="200" fontId="7" fillId="15" borderId="18" xfId="0" applyNumberFormat="1" applyFont="1" applyFill="1" applyBorder="1" applyAlignment="1">
      <x:alignment horizontal="center" vertical="center" wrapText="1"/>
    </x:xf>
    <x:xf numFmtId="203" fontId="1" fillId="20" borderId="0" xfId="0" applyNumberFormat="1" applyFont="1" applyFill="1" applyBorder="1" applyAlignment="1">
      <x:alignment horizontal="center" vertical="center" wrapText="1"/>
    </x:xf>
    <x:xf numFmtId="203" fontId="1" fillId="20" borderId="18" xfId="0" applyNumberFormat="1" applyFont="1" applyFill="1" applyBorder="1" applyAlignment="1">
      <x:alignment horizontal="center" vertical="center" wrapText="1"/>
    </x:xf>
    <x:xf numFmtId="0" fontId="1" fillId="13" borderId="18" xfId="0" applyNumberFormat="1" applyFont="1" applyFill="1" applyBorder="1" applyAlignment="1">
      <x:alignment horizontal="center" vertical="center" wrapText="1"/>
    </x:xf>
    <x:xf numFmtId="0" fontId="1" fillId="20" borderId="18" xfId="0" applyNumberFormat="1" applyFont="1" applyFill="1" applyBorder="1" applyAlignment="1">
      <x:alignment horizontal="center" vertical="center" wrapText="1"/>
    </x:xf>
    <x:xf numFmtId="204" fontId="1" fillId="20" borderId="18" xfId="0" applyNumberFormat="1" applyFont="1" applyFill="1" applyBorder="1" applyAlignment="1">
      <x:alignment horizontal="center" vertical="center" wrapText="1"/>
    </x:xf>
    <x:xf numFmtId="201" fontId="1" fillId="20" borderId="18" xfId="0" applyNumberFormat="1" applyFont="1" applyFill="1" applyBorder="1" applyAlignment="1">
      <x:alignment horizontal="center" vertical="center" wrapText="1"/>
    </x:xf>
    <x:xf numFmtId="201" fontId="4" fillId="13" borderId="0" xfId="0" applyNumberFormat="1" applyFont="1" applyFill="1" applyBorder="1" applyAlignment="1">
      <x:alignment horizontal="center" vertical="center" wrapText="1"/>
    </x:xf>
    <x:xf numFmtId="201" fontId="7" fillId="13" borderId="0" xfId="0" applyNumberFormat="1" applyFont="1" applyFill="1" applyBorder="1" applyAlignment="1">
      <x:alignment horizontal="center" vertical="center" wrapText="1"/>
    </x:xf>
    <x:xf numFmtId="201" fontId="5" fillId="13" borderId="0" xfId="0" applyNumberFormat="1" applyFont="1" applyFill="1" applyBorder="1" applyAlignment="1">
      <x:alignment horizontal="center" vertical="center" wrapText="1"/>
    </x:xf>
    <x:xf numFmtId="202" fontId="4" fillId="20" borderId="0" xfId="0" applyNumberFormat="1" applyFont="1" applyFill="1" applyBorder="1" applyAlignment="1">
      <x:alignment horizontal="center" vertical="center" wrapText="1"/>
    </x:xf>
    <x:xf numFmtId="202" fontId="7" fillId="20" borderId="0" xfId="0" applyNumberFormat="1" applyFont="1" applyFill="1" applyBorder="1" applyAlignment="1">
      <x:alignment horizontal="center" vertical="center" wrapText="1"/>
    </x:xf>
    <x:xf numFmtId="202" fontId="5" fillId="20" borderId="0" xfId="0" applyNumberFormat="1" applyFont="1" applyFill="1" applyBorder="1" applyAlignment="1">
      <x:alignment horizontal="center" vertical="center" wrapText="1"/>
    </x:xf>
    <x:xf numFmtId="200" fontId="4" fillId="20" borderId="0" xfId="0" applyNumberFormat="1" applyFont="1" applyFill="1" applyBorder="1" applyAlignment="1">
      <x:alignment horizontal="center" vertical="center" wrapText="1"/>
    </x:xf>
    <x:xf numFmtId="200" fontId="7" fillId="20" borderId="0" xfId="0" applyNumberFormat="1" applyFont="1" applyFill="1" applyBorder="1" applyAlignment="1">
      <x:alignment horizontal="center" vertical="center" wrapText="1"/>
    </x:xf>
    <x:xf numFmtId="200" fontId="5" fillId="20" borderId="0" xfId="0" applyNumberFormat="1" applyFont="1" applyFill="1" applyBorder="1" applyAlignment="1">
      <x:alignment horizontal="center" vertical="center" wrapText="1"/>
    </x:xf>
    <x:xf numFmtId="0" fontId="5" fillId="13" borderId="0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204" fontId="5" fillId="13" borderId="0" xfId="0" applyNumberFormat="1" applyFont="1" applyFill="1" applyBorder="1" applyAlignment="1">
      <x:alignment horizontal="center" vertical="center" wrapText="1"/>
    </x:xf>
    <x:xf numFmtId="201" fontId="5" fillId="20" borderId="0" xfId="0" applyNumberFormat="1" applyFont="1" applyFill="1" applyBorder="1" applyAlignment="1">
      <x:alignment horizontal="center" vertical="center" wrapText="1"/>
    </x:xf>
    <x:xf numFmtId="203" fontId="5" fillId="13" borderId="0" xfId="0" applyNumberFormat="1" applyFont="1" applyFill="1" applyBorder="1" applyAlignment="1">
      <x:alignment horizontal="center" vertical="center" wrapText="1"/>
    </x:xf>
    <x:xf numFmtId="200" fontId="5" fillId="13" borderId="0" xfId="0" applyNumberFormat="1" applyFont="1" applyFill="1" applyBorder="1" applyAlignment="1">
      <x:alignment horizontal="center" vertical="center" wrapText="1"/>
    </x:xf>
    <x:xf numFmtId="201" fontId="4" fillId="20" borderId="0" xfId="0" applyNumberFormat="1" applyFont="1" applyFill="1" applyBorder="1" applyAlignment="1">
      <x:alignment horizontal="center" vertical="center" wrapText="1"/>
    </x:xf>
    <x:xf numFmtId="201" fontId="7" fillId="20" borderId="0" xfId="0" applyNumberFormat="1" applyFont="1" applyFill="1" applyBorder="1" applyAlignment="1">
      <x:alignment horizontal="center" vertical="center" wrapText="1"/>
    </x:xf>
    <x:xf numFmtId="201" fontId="7" fillId="19" borderId="0" xfId="0" applyNumberFormat="1" applyFont="1" applyFill="1" applyBorder="1" applyAlignment="1">
      <x:alignment horizontal="center" vertical="center" wrapText="1"/>
    </x:xf>
    <x:xf numFmtId="201" fontId="4" fillId="19" borderId="0" xfId="0" applyNumberFormat="1" applyFont="1" applyFill="1" applyBorder="1" applyAlignment="1">
      <x:alignment horizontal="center" vertical="center" wrapText="1"/>
    </x:xf>
    <x:xf numFmtId="200" fontId="4" fillId="21" borderId="0" xfId="0" applyNumberFormat="1" applyFont="1" applyFill="1" applyBorder="1" applyAlignment="1">
      <x:alignment horizontal="center" vertical="center" wrapText="1"/>
    </x:xf>
    <x:xf numFmtId="200" fontId="7" fillId="21" borderId="0" xfId="0" applyNumberFormat="1" applyFont="1" applyFill="1" applyBorder="1" applyAlignment="1">
      <x:alignment horizontal="center" vertical="center" wrapText="1"/>
    </x:xf>
    <x:xf numFmtId="0" fontId="2" fillId="22" borderId="0" xfId="0" applyNumberFormat="1" applyFont="1" applyFill="1" applyBorder="1" applyAlignment="1">
      <x:alignment horizontal="center"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200" fontId="4" fillId="22" borderId="0" xfId="0" applyNumberFormat="1" applyFont="1" applyFill="1" applyBorder="1" applyAlignment="1">
      <x:alignment horizontal="center" vertical="center" wrapText="1"/>
    </x:xf>
    <x:xf numFmtId="0" fontId="7" fillId="22" borderId="0" xfId="0" applyNumberFormat="1" applyFont="1" applyFill="1" applyBorder="1" applyAlignment="1">
      <x:alignment horizontal="center" vertical="center" wrapText="1"/>
    </x:xf>
    <x:xf numFmtId="200" fontId="7" fillId="22" borderId="0" xfId="0" applyNumberFormat="1" applyFont="1" applyFill="1" applyBorder="1" applyAlignment="1">
      <x:alignment horizontal="center" vertical="center" wrapText="1"/>
    </x:xf>
    <x:xf numFmtId="203" fontId="5" fillId="13" borderId="0" xfId="0" applyNumberFormat="1" applyFont="1" applyFill="1" applyBorder="1" applyAlignment="1">
      <x:alignment vertical="center" wrapText="1"/>
    </x:xf>
    <x:xf numFmtId="203" fontId="7" fillId="13" borderId="0" xfId="0" applyNumberFormat="1" applyFont="1" applyFill="1" applyBorder="1" applyAlignment="1">
      <x:alignment vertical="center" wrapText="1"/>
    </x:xf>
    <x:xf numFmtId="203" fontId="7" fillId="13" borderId="18" xfId="0" applyNumberFormat="1" applyFont="1" applyFill="1" applyBorder="1" applyAlignment="1">
      <x:alignment vertical="center" wrapText="1"/>
    </x:xf>
    <x:xf numFmtId="203" fontId="5" fillId="13" borderId="18" xfId="0" applyNumberFormat="1" applyFont="1" applyFill="1" applyBorder="1" applyAlignment="1">
      <x:alignment vertical="center" wrapText="1"/>
    </x:xf>
    <x:xf numFmtId="204" fontId="5" fillId="13" borderId="18" xfId="0" applyNumberFormat="1" applyFont="1" applyFill="1" applyBorder="1" applyAlignment="1">
      <x:alignment vertical="center" wrapText="1"/>
    </x:xf>
    <x:xf numFmtId="204" fontId="5" fillId="13" borderId="18" xfId="0" applyNumberFormat="1" applyFont="1" applyFill="1" applyBorder="1" applyAlignment="1">
      <x:alignment horizontal="center" vertical="center" wrapText="1"/>
    </x:xf>
    <x:xf numFmtId="201" fontId="5" fillId="20" borderId="0" xfId="0" applyNumberFormat="1" applyFont="1" applyFill="1" applyBorder="1" applyAlignment="1">
      <x:alignment vertical="center" wrapText="1"/>
    </x:xf>
    <x:xf numFmtId="201" fontId="7" fillId="20" borderId="0" xfId="0" applyNumberFormat="1" applyFont="1" applyFill="1" applyBorder="1" applyAlignment="1">
      <x:alignment vertical="center" wrapText="1"/>
    </x:xf>
    <x:xf numFmtId="201" fontId="7" fillId="20" borderId="18" xfId="0" applyNumberFormat="1" applyFont="1" applyFill="1" applyBorder="1" applyAlignment="1">
      <x:alignment vertical="center" wrapText="1"/>
    </x:xf>
    <x:xf numFmtId="201" fontId="5" fillId="20" borderId="18" xfId="0" applyNumberFormat="1" applyFont="1" applyFill="1" applyBorder="1" applyAlignment="1">
      <x:alignment vertical="center" wrapText="1"/>
    </x:xf>
    <x:xf numFmtId="200" fontId="5" fillId="13" borderId="0" xfId="0" applyNumberFormat="1" applyFont="1" applyFill="1" applyBorder="1" applyAlignment="1">
      <x:alignment vertical="center" wrapText="1"/>
    </x:xf>
    <x:xf numFmtId="200" fontId="7" fillId="13" borderId="0" xfId="0" applyNumberFormat="1" applyFont="1" applyFill="1" applyBorder="1" applyAlignment="1">
      <x:alignment vertical="center" wrapText="1"/>
    </x:xf>
    <x:xf numFmtId="200" fontId="7" fillId="13" borderId="18" xfId="0" applyNumberFormat="1" applyFont="1" applyFill="1" applyBorder="1" applyAlignment="1">
      <x:alignment vertical="center" wrapText="1"/>
    </x:xf>
    <x:xf numFmtId="200" fontId="5" fillId="13" borderId="18" xfId="0" applyNumberFormat="1" applyFont="1" applyFill="1" applyBorder="1" applyAlignment="1">
      <x:alignment vertical="center" wrapText="1"/>
    </x:xf>
    <x:xf numFmtId="200" fontId="5" fillId="20" borderId="0" xfId="0" applyNumberFormat="1" applyFont="1" applyFill="1" applyBorder="1" applyAlignment="1">
      <x:alignment vertical="center" wrapText="1"/>
    </x:xf>
    <x:xf numFmtId="200" fontId="7" fillId="20" borderId="0" xfId="0" applyNumberFormat="1" applyFont="1" applyFill="1" applyBorder="1" applyAlignment="1">
      <x:alignment vertical="center" wrapText="1"/>
    </x:xf>
    <x:xf numFmtId="200" fontId="7" fillId="20" borderId="18" xfId="0" applyNumberFormat="1" applyFont="1" applyFill="1" applyBorder="1" applyAlignment="1">
      <x:alignment vertical="center" wrapText="1"/>
    </x:xf>
    <x:xf numFmtId="200" fontId="5" fillId="20" borderId="18" xfId="0" applyNumberFormat="1" applyFont="1" applyFill="1" applyBorder="1" applyAlignment="1">
      <x:alignment vertical="center" wrapText="1"/>
    </x:xf>
    <x:xf numFmtId="200" fontId="5" fillId="20" borderId="18" xfId="0" applyNumberFormat="1" applyFont="1" applyFill="1" applyBorder="1" applyAlignment="1">
      <x:alignment horizontal="center" vertical="center" wrapText="1"/>
    </x:xf>
    <x:xf numFmtId="200" fontId="5" fillId="13" borderId="18" xfId="0" applyNumberFormat="1" applyFont="1" applyFill="1" applyBorder="1" applyAlignment="1">
      <x:alignment horizontal="center"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200" fontId="11" fillId="13" borderId="0" xfId="0" applyNumberFormat="1" applyFont="1" applyFill="1" applyBorder="1" applyAlignment="1">
      <x:alignment horizontal="center" vertical="center" wrapText="1"/>
    </x:xf>
    <x:xf numFmtId="0" fontId="11" fillId="20" borderId="0" xfId="0" applyNumberFormat="1" applyFont="1" applyFill="1" applyBorder="1" applyAlignment="1">
      <x:alignment vertical="center" wrapText="1"/>
    </x:xf>
    <x:xf numFmtId="200" fontId="11" fillId="20" borderId="0" xfId="0" applyNumberFormat="1" applyFont="1" applyFill="1" applyBorder="1" applyAlignment="1">
      <x:alignment horizontal="center" vertical="center" wrapText="1"/>
    </x:xf>
    <x:xf numFmtId="0" fontId="7" fillId="15" borderId="0" xfId="0" applyNumberFormat="1" applyFont="1" applyFill="1" applyBorder="1" applyAlignment="1">
      <x:alignment vertical="center" wrapText="1"/>
    </x:xf>
    <x:xf numFmtId="200" fontId="7" fillId="15" borderId="0" xfId="0" applyNumberFormat="1" applyFont="1" applyFill="1" applyBorder="1" applyAlignment="1">
      <x:alignment horizontal="center"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2" fillId="18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204" fontId="5" fillId="13" borderId="0" xfId="0" applyNumberFormat="1" applyFont="1" applyFill="1" applyBorder="1" applyAlignment="1">
      <x:alignment vertical="center" wrapText="1"/>
    </x:xf>
    <x:xf numFmtId="0" fontId="5" fillId="20" borderId="0" xfId="0" applyNumberFormat="1" applyFont="1" applyFill="1" applyBorder="1" applyAlignment="1">
      <x:alignment vertical="center" wrapText="1"/>
    </x:xf>
    <x:xf numFmtId="203" fontId="5" fillId="20" borderId="0" xfId="0" applyNumberFormat="1" applyFont="1" applyFill="1" applyBorder="1" applyAlignment="1">
      <x:alignment vertical="center" wrapText="1"/>
    </x:xf>
    <x:xf numFmtId="203" fontId="5" fillId="20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horizontal="center" vertical="center" wrapText="1"/>
    </x:xf>
    <x:xf numFmtId="0" fontId="7" fillId="21" borderId="0" xfId="0" applyNumberFormat="1" applyFont="1" applyFill="1" applyBorder="1" applyAlignment="1">
      <x:alignment vertical="center" wrapText="1"/>
    </x:xf>
    <x:xf numFmtId="201" fontId="9" fillId="20" borderId="0" xfId="0" applyNumberFormat="1" applyFont="1" applyFill="1" applyBorder="1" applyAlignment="1">
      <x:alignment horizontal="center" vertical="center" wrapText="1"/>
    </x:xf>
    <x:xf numFmtId="201" fontId="1" fillId="20" borderId="0" xfId="0" applyNumberFormat="1" applyFont="1" applyFill="1" applyBorder="1" applyAlignment="1">
      <x:alignment horizontal="center" vertical="center" wrapText="1"/>
    </x:xf>
    <x:xf numFmtId="201" fontId="11" fillId="20" borderId="0" xfId="0" applyNumberFormat="1" applyFont="1" applyFill="1" applyBorder="1" applyAlignment="1">
      <x:alignment horizontal="center" vertical="center" wrapText="1"/>
    </x:xf>
    <x:xf numFmtId="200" fontId="9" fillId="13" borderId="0" xfId="0" applyNumberFormat="1" applyFont="1" applyFill="1" applyBorder="1" applyAlignment="1">
      <x:alignment horizontal="center" vertical="center" wrapText="1"/>
    </x:xf>
    <x:xf numFmtId="200" fontId="9" fillId="20" borderId="0" xfId="0" applyNumberFormat="1" applyFont="1" applyFill="1" applyBorder="1" applyAlignment="1">
      <x:alignment horizontal="center" vertical="center" wrapText="1"/>
    </x:xf>
    <x:xf numFmtId="200" fontId="5" fillId="15" borderId="0" xfId="0" applyNumberFormat="1" applyFont="1" applyFill="1" applyBorder="1" applyAlignment="1">
      <x:alignment horizontal="center" vertical="center" wrapText="1"/>
    </x:xf>
    <x:xf numFmtId="0" fontId="6" fillId="20" borderId="18" xfId="0" applyNumberFormat="1" applyFont="1" applyFill="1" applyBorder="1" applyAlignment="1">
      <x:alignment vertical="top" wrapText="1"/>
    </x:xf>
    <x:xf numFmtId="0" fontId="6" fillId="13" borderId="18" xfId="0" applyNumberFormat="1" applyFont="1" applyFill="1" applyBorder="1" applyAlignment="1">
      <x:alignment vertical="top" wrapText="1"/>
    </x:xf>
    <x:xf numFmtId="0" fontId="2" fillId="13" borderId="0" xfId="0" applyNumberFormat="1" applyFont="1" applyFill="1" applyBorder="1" applyAlignment="1">
      <x:alignment vertical="center" wrapText="1"/>
    </x:xf>
    <x:xf numFmtId="0" fontId="7" fillId="13" borderId="0" xfId="0" applyNumberFormat="1" applyFont="1" applyFill="1" applyBorder="1" applyAlignment="1">
      <x:alignment vertical="center" wrapText="1"/>
    </x:xf>
    <x:xf numFmtId="0" fontId="7" fillId="13" borderId="18" xfId="0" applyNumberFormat="1" applyFont="1" applyFill="1" applyBorder="1" applyAlignment="1">
      <x:alignment vertical="center" wrapText="1"/>
    </x:xf>
    <x:xf numFmtId="0" fontId="7" fillId="13" borderId="18" xfId="0" applyNumberFormat="1" applyFont="1" applyFill="1" applyBorder="1" applyAlignment="1">
      <x:alignment vertical="top" wrapText="1"/>
    </x:xf>
    <x:xf numFmtId="0" fontId="7" fillId="20" borderId="0" xfId="0" applyNumberFormat="1" applyFont="1" applyFill="1" applyBorder="1" applyAlignment="1">
      <x:alignment vertical="center" wrapText="1"/>
    </x:xf>
    <x:xf numFmtId="0" fontId="7" fillId="20" borderId="18" xfId="0" applyNumberFormat="1" applyFont="1" applyFill="1" applyBorder="1" applyAlignment="1">
      <x:alignment vertical="center" wrapText="1"/>
    </x:xf>
    <x:xf numFmtId="0" fontId="7" fillId="20" borderId="18" xfId="0" applyNumberFormat="1" applyFont="1" applyFill="1" applyBorder="1" applyAlignment="1">
      <x:alignment vertical="top" wrapText="1"/>
    </x:xf>
    <x:xf numFmtId="0" fontId="7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top" wrapText="1"/>
    </x:xf>
    <x:xf numFmtId="0" fontId="6" fillId="20" borderId="0" xfId="0" applyNumberFormat="1" applyFont="1" applyFill="1" applyBorder="1" applyAlignment="1">
      <x:alignment vertical="top" wrapText="1"/>
    </x:xf>
    <x:xf numFmtId="0" fontId="10" fillId="13" borderId="18" xfId="0" applyNumberFormat="1" applyFont="1" applyFill="1" applyBorder="1" applyAlignment="1">
      <x:alignment vertical="top" wrapText="1"/>
    </x:xf>
    <x:xf numFmtId="0" fontId="10" fillId="20" borderId="18" xfId="0" applyNumberFormat="1" applyFont="1" applyFill="1" applyBorder="1" applyAlignment="1">
      <x:alignment vertical="top" wrapText="1"/>
    </x:xf>
    <x:xf numFmtId="200" fontId="7" fillId="20" borderId="18" xfId="0" applyNumberFormat="1" applyFont="1" applyFill="1" applyBorder="1" applyAlignment="1">
      <x:alignment horizontal="center" vertical="center" wrapText="1"/>
    </x:xf>
    <x:xf numFmtId="0" fontId="5" fillId="20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vertical="center"/>
    </x:xf>
    <x:xf numFmtId="0" fontId="5" fillId="20" borderId="0" xfId="0" applyNumberFormat="1" applyFont="1" applyFill="1" applyBorder="1" applyAlignment="1">
      <x:alignment vertical="center"/>
    </x:xf>
    <x:xf numFmtId="0" fontId="5" fillId="20" borderId="0" xfId="0" applyNumberFormat="1" applyFont="1" applyFill="1" applyBorder="1" applyAlignment="1">
      <x:alignment horizontal="center" vertical="center"/>
    </x:xf>
    <x:xf numFmtId="0" fontId="1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204" fontId="7" fillId="13" borderId="18" xfId="0" applyNumberFormat="1" applyFont="1" applyFill="1" applyBorder="1" applyAlignment="1">
      <x:alignment horizontal="center" vertical="center" wrapText="1"/>
    </x:xf>
    <x:xf numFmtId="201" fontId="7" fillId="20" borderId="18" xfId="0" applyNumberFormat="1" applyFont="1" applyFill="1" applyBorder="1" applyAlignment="1">
      <x:alignment horizontal="center" vertical="center" wrapText="1"/>
    </x:xf>
    <x:xf numFmtId="203" fontId="7" fillId="13" borderId="18" xfId="0" applyNumberFormat="1" applyFont="1" applyFill="1" applyBorder="1" applyAlignment="1">
      <x:alignment horizontal="center" vertical="center" wrapText="1"/>
    </x:xf>
    <x:xf numFmtId="200" fontId="7" fillId="13" borderId="18" xfId="0" applyNumberFormat="1" applyFont="1" applyFill="1" applyBorder="1" applyAlignment="1">
      <x:alignment horizontal="center" vertical="center" wrapText="1"/>
    </x:xf>
    <x:xf numFmtId="204" fontId="7" fillId="13" borderId="0" xfId="0" applyNumberFormat="1" applyFont="1" applyFill="1" applyBorder="1" applyAlignment="1">
      <x:alignment horizontal="center" vertical="center" wrapText="1"/>
    </x:xf>
    <x:xf numFmtId="203" fontId="7" fillId="13" borderId="0" xfId="0" applyNumberFormat="1" applyFont="1" applyFill="1" applyBorder="1" applyAlignment="1">
      <x:alignment horizontal="center" vertical="center" wrapText="1"/>
    </x:xf>
    <x:xf numFmtId="203" fontId="7" fillId="2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5ac7ee1534d4b" /><Relationship Type="http://schemas.openxmlformats.org/officeDocument/2006/relationships/theme" Target="/xl/theme/theme1.xml" Id="Rdd8209fb1d0f4080" /><Relationship Type="http://schemas.openxmlformats.org/officeDocument/2006/relationships/sharedStrings" Target="/xl/sharedStrings.xml" Id="R2b49e9713a114be5" /><Relationship Type="http://schemas.openxmlformats.org/officeDocument/2006/relationships/worksheet" Target="/xl/worksheets/sheet1.xml" Id="R1fd6187ee6474db6" /><Relationship Type="http://schemas.openxmlformats.org/officeDocument/2006/relationships/worksheet" Target="/xl/worksheets/sheet2.xml" Id="R9c0900d731b94b24" /><Relationship Type="http://schemas.openxmlformats.org/officeDocument/2006/relationships/worksheet" Target="/xl/worksheets/sheet3.xml" Id="R600b481add7a4a37" /><Relationship Type="http://schemas.openxmlformats.org/officeDocument/2006/relationships/worksheet" Target="/xl/worksheets/sheet4.xml" Id="Rb68036cbcdab4930" /><Relationship Type="http://schemas.openxmlformats.org/officeDocument/2006/relationships/worksheet" Target="/xl/worksheets/sheet5.xml" Id="R25135aeb4cc84114" /><Relationship Type="http://schemas.openxmlformats.org/officeDocument/2006/relationships/worksheet" Target="/xl/worksheets/sheet6.xml" Id="R168c3b483cf04c95" /><Relationship Type="http://schemas.openxmlformats.org/officeDocument/2006/relationships/worksheet" Target="/xl/worksheets/sheet7.xml" Id="Rc79ea656b15d4b5c" /><Relationship Type="http://schemas.openxmlformats.org/officeDocument/2006/relationships/worksheet" Target="/xl/worksheets/sheet8.xml" Id="Rb6e8fa792b894e75" /><Relationship Type="http://schemas.openxmlformats.org/officeDocument/2006/relationships/worksheet" Target="/xl/worksheets/sheet9.xml" Id="R73b5557b458645dc" /><Relationship Type="http://schemas.openxmlformats.org/officeDocument/2006/relationships/worksheet" Target="/xl/worksheets/sheet10.xml" Id="Rc23bfcd8a7384940" /><Relationship Type="http://schemas.openxmlformats.org/officeDocument/2006/relationships/worksheet" Target="/xl/worksheets/sheet11.xml" Id="R94c197b593f34bb7" /><Relationship Type="http://schemas.openxmlformats.org/officeDocument/2006/relationships/worksheet" Target="/xl/worksheets/sheet12.xml" Id="R4d8d302bad8a4c04" /><Relationship Type="http://schemas.openxmlformats.org/officeDocument/2006/relationships/worksheet" Target="/xl/worksheets/sheet13.xml" Id="Rfa519b619c774f56" /><Relationship Type="http://schemas.openxmlformats.org/officeDocument/2006/relationships/worksheet" Target="/xl/worksheets/sheet14.xml" Id="Rc1314cff17104a76" /><Relationship Type="http://schemas.openxmlformats.org/officeDocument/2006/relationships/worksheet" Target="/xl/worksheets/sheet15.xml" Id="Rf31f8701917d46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18" hidden="0" customWidth="1"/>
    <x:col min="3" max="3" width="18" hidden="0" customWidth="1"/>
    <x:col min="4" max="4" width="18" hidden="0" customWidth="1"/>
    <x:col min="5" max="5" width="21" hidden="0" customWidth="1"/>
    <x:col min="6" max="6" width="17" hidden="0" customWidth="1"/>
    <x:col min="7" max="7" width="17" hidden="0" customWidth="1"/>
    <x:col min="8" max="8" width="17" hidden="0" customWidth="1"/>
    <x:col min="9" max="9" width="21" hidden="0" customWidth="1"/>
    <x:col min="10" max="10" width="3" hidden="0" customWidth="1"/>
    <x:col min="11" max="11" width="21" hidden="0" customWidth="1"/>
    <x:col min="12" max="12" width="2.20000004768371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5"/>
      <x:c r="B2" s="12" t="str">
        <x:v>Command Center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5"/>
    </x:row>
    <x:row r="3" ht="24" customHeight="1">
      <x:c r="A3" s="5"/>
      <x:c r="B3" s="18" t="str">
        <x:v>One landing workspace for product architecture, lifecycle, operations and economics.</x:v>
      </x:c>
      <x:c r="C3" s="18"/>
      <x:c r="D3" s="18"/>
      <x:c r="E3" s="18"/>
      <x:c r="F3" s="18"/>
      <x:c r="G3" s="18"/>
      <x:c r="H3" s="18"/>
      <x:c r="I3" s="18"/>
      <x:c r="J3" s="18"/>
      <x:c r="K3" s="18"/>
      <x:c r="L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31" customHeight="1">
      <x:c r="A5" s="5"/>
      <x:c r="B5" s="111" t="str">
        <x:v>Membership is the entitlement. Personal, Household and Seller are workspaces. Services and lifecycle stages run across them. Cost Drivers + Rate Cards + Cost Center now provide the financial control layer.</x:v>
      </x:c>
      <x:c r="C5" s="111"/>
      <x:c r="D5" s="111"/>
      <x:c r="E5" s="111"/>
      <x:c r="F5" s="111"/>
      <x:c r="G5" s="111"/>
      <x:c r="H5" s="111"/>
      <x:c r="I5" s="111"/>
      <x:c r="J5" s="111"/>
      <x:c r="K5" s="111"/>
      <x:c r="L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</x:row>
    <x:row r="7" ht="24" customHeight="1">
      <x:c r="A7" s="5"/>
      <x:c r="B7" s="28" t="str">
        <x:v>Operating model at a glance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5"/>
    </x:row>
    <x:row r="8" ht="27" customHeight="1">
      <x:c r="A8" s="5"/>
      <x:c r="B8" s="444" t="str">
        <x:v>LAYER</x:v>
      </x:c>
      <x:c r="C8" s="444"/>
      <x:c r="D8" s="444" t="str">
        <x:v>MEMBERSHIP</x:v>
      </x:c>
      <x:c r="E8" s="444"/>
      <x:c r="F8" s="444" t="str">
        <x:v>WORKSPACES</x:v>
      </x:c>
      <x:c r="G8" s="444"/>
      <x:c r="H8" s="444" t="str">
        <x:v>SERVICES</x:v>
      </x:c>
      <x:c r="I8" s="444"/>
      <x:c r="J8" s="444" t="str">
        <x:v>LIFECYCLE / OPERATIONS</x:v>
      </x:c>
      <x:c r="K8" s="444"/>
      <x:c r="L8" s="5"/>
    </x:row>
    <x:row r="9" ht="48" customHeight="1">
      <x:c r="A9" s="5"/>
      <x:c r="B9" s="114" t="str">
        <x:v>Customer choice</x:v>
      </x:c>
      <x:c r="C9" s="114"/>
      <x:c r="D9" s="53" t="str">
        <x:v>Select or Premier</x:v>
      </x:c>
      <x:c r="E9" s="53"/>
      <x:c r="F9" s="53" t="str">
        <x:v>Personal • Household • Seller</x:v>
      </x:c>
      <x:c r="G9" s="53"/>
      <x:c r="H9" s="53" t="str">
        <x:v>Get paid • Pay &amp; spend • Share &amp; control • Help &amp; resolve</x:v>
      </x:c>
      <x:c r="I9" s="53"/>
      <x:c r="J9" s="53" t="str">
        <x:v>Join • Verify • Activate • Use • Manage • Renew</x:v>
      </x:c>
      <x:c r="K9" s="53"/>
      <x:c r="L9" s="5"/>
    </x:row>
    <x:row r="10" ht="48" customHeight="1">
      <x:c r="A10" s="5"/>
      <x:c r="B10" s="116" t="str">
        <x:v>Management object</x:v>
      </x:c>
      <x:c r="C10" s="116"/>
      <x:c r="D10" s="40" t="str">
        <x:v>Service offering / entitlement</x:v>
      </x:c>
      <x:c r="E10" s="40"/>
      <x:c r="F10" s="40" t="str">
        <x:v>Customer context and ownership</x:v>
      </x:c>
      <x:c r="G10" s="40"/>
      <x:c r="H10" s="40" t="str">
        <x:v>Consumable service</x:v>
      </x:c>
      <x:c r="I10" s="40"/>
      <x:c r="J10" s="40" t="str">
        <x:v>Playbook, case, task, SLA and state</x:v>
      </x:c>
      <x:c r="K10" s="40"/>
      <x:c r="L10" s="5"/>
    </x:row>
    <x:row r="11" ht="48" customHeight="1">
      <x:c r="A11" s="5"/>
      <x:c r="B11" s="114" t="str">
        <x:v>Economics</x:v>
      </x:c>
      <x:c r="C11" s="114"/>
      <x:c r="D11" s="53" t="str">
        <x:v>Membership income and benefits</x:v>
      </x:c>
      <x:c r="E11" s="53"/>
      <x:c r="F11" s="53" t="str">
        <x:v>Activity attribution</x:v>
      </x:c>
      <x:c r="G11" s="53"/>
      <x:c r="H11" s="53" t="str">
        <x:v>PayFac and issuing economics</x:v>
      </x:c>
      <x:c r="I11" s="53"/>
      <x:c r="J11" s="53" t="str">
        <x:v>Support cost, loss, retention and process efficiency</x:v>
      </x:c>
      <x:c r="K11" s="53"/>
      <x:c r="L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</x:row>
    <x:row r="14" ht="24" customHeight="1">
      <x:c r="A14" s="5"/>
      <x:c r="B14" s="28" t="str">
        <x:v>Scenario</x:v>
      </x:c>
      <x:c r="C14" s="28"/>
      <x:c r="D14" s="28"/>
      <x:c r="E14" s="28"/>
      <x:c r="F14" s="28"/>
      <x:c r="G14" s="28"/>
      <x:c r="H14" s="28"/>
      <x:c r="I14" s="28"/>
      <x:c r="J14" s="28"/>
      <x:c r="K14" s="28"/>
      <x:c r="L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</x:row>
    <x:row r="17">
      <x:c r="A17" s="5"/>
      <x:c r="B17" s="76" t="str">
        <x:v>Period</x:v>
      </x:c>
      <x:c r="C17" s="76"/>
      <x:c r="D17" s="76"/>
      <x:c r="E17" s="92" t="str">
        <x:v>Annual</x:v>
      </x:c>
      <x:c r="F17" s="76" t="str">
        <x:v>Annual or monthly</x:v>
      </x:c>
      <x:c r="G17" s="76"/>
      <x:c r="H17" s="76"/>
      <x:c r="I17" s="5"/>
      <x:c r="J17" s="5"/>
      <x:c r="K17" s="5"/>
      <x:c r="L17" s="5"/>
    </x:row>
    <x:row r="18">
      <x:c r="A18" s="5"/>
      <x:c r="B18" s="66" t="str">
        <x:v>Sales received</x:v>
      </x:c>
      <x:c r="C18" s="66"/>
      <x:c r="D18" s="66"/>
      <x:c r="E18" s="118" t="n">
        <x:v>100000</x:v>
      </x:c>
      <x:c r="F18" s="66" t="str">
        <x:v>Approved Quick Sell and Seller sales</x:v>
      </x:c>
      <x:c r="G18" s="66"/>
      <x:c r="H18" s="66"/>
      <x:c r="I18" s="5"/>
      <x:c r="J18" s="5"/>
      <x:c r="K18" s="5"/>
      <x:c r="L18" s="5"/>
    </x:row>
    <x:row r="19">
      <x:c r="A19" s="5"/>
      <x:c r="B19" s="76" t="str">
        <x:v>Customer payments</x:v>
      </x:c>
      <x:c r="C19" s="76"/>
      <x:c r="D19" s="76"/>
      <x:c r="E19" s="118" t="n">
        <x:v>1000</x:v>
      </x:c>
      <x:c r="F19" s="76" t="str">
        <x:v>Commercial customer payments</x:v>
      </x:c>
      <x:c r="G19" s="76"/>
      <x:c r="H19" s="76"/>
      <x:c r="I19" s="5"/>
      <x:c r="J19" s="5"/>
      <x:c r="K19" s="5"/>
      <x:c r="L19" s="5"/>
    </x:row>
    <x:row r="20">
      <x:c r="A20" s="5"/>
      <x:c r="B20" s="66" t="str">
        <x:v>Eligible purchases</x:v>
      </x:c>
      <x:c r="C20" s="66"/>
      <x:c r="D20" s="66"/>
      <x:c r="E20" s="118" t="n">
        <x:v>24000</x:v>
      </x:c>
      <x:c r="F20" s="66" t="str">
        <x:v>Personal + Household + Seller purchases</x:v>
      </x:c>
      <x:c r="G20" s="66"/>
      <x:c r="H20" s="66"/>
      <x:c r="I20" s="5"/>
      <x:c r="J20" s="5"/>
      <x:c r="K20" s="5"/>
      <x:c r="L20" s="5"/>
    </x:row>
    <x:row r="21">
      <x:c r="A21" s="5"/>
      <x:c r="B21" s="76" t="str">
        <x:v>Card-brand cost on sales</x:v>
      </x:c>
      <x:c r="C21" s="76"/>
      <x:c r="D21" s="76"/>
      <x:c r="E21" s="71" t="n">
        <x:v>0.019</x:v>
      </x:c>
      <x:c r="F21" s="76" t="str">
        <x:v>Outside network/interchange estimate</x:v>
      </x:c>
      <x:c r="G21" s="76"/>
      <x:c r="H21" s="76"/>
      <x:c r="I21" s="5"/>
      <x:c r="J21" s="5"/>
      <x:c r="K21" s="5"/>
      <x:c r="L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</x:row>
    <x:row r="24" ht="24" customHeight="1">
      <x:c r="A24" s="5"/>
      <x:c r="B24" s="28" t="str">
        <x:v>Headline results</x:v>
      </x:c>
      <x:c r="C24" s="28"/>
      <x:c r="D24" s="28"/>
      <x:c r="E24" s="28"/>
      <x:c r="F24" s="28"/>
      <x:c r="G24" s="28"/>
      <x:c r="H24" s="28"/>
      <x:c r="I24" s="28"/>
      <x:c r="J24" s="28"/>
      <x:c r="K24" s="28"/>
      <x:c r="L24" s="5"/>
    </x:row>
    <x:row r="25">
      <x:c r="A25" s="5"/>
      <x:c r="B25" s="35" t="str">
        <x:v>SELECT CUSTOMER COST</x:v>
      </x:c>
      <x:c r="C25" s="35"/>
      <x:c r="D25" s="35" t="str">
        <x:v>PREMIER CUSTOMER COST</x:v>
      </x:c>
      <x:c r="E25" s="35"/>
      <x:c r="F25" s="35" t="str">
        <x:v>CUSTOMER SAVING</x:v>
      </x:c>
      <x:c r="G25" s="35"/>
      <x:c r="H25" s="35" t="str">
        <x:v>SELECT CONTRIBUTION</x:v>
      </x:c>
      <x:c r="I25" s="35"/>
      <x:c r="J25" s="35" t="str">
        <x:v>PREMIER CONTRIBUTION</x:v>
      </x:c>
      <x:c r="K25" s="35"/>
      <x:c r="L25" s="5"/>
    </x:row>
    <x:row r="26">
      <x:c r="A26" s="5"/>
      <x:c r="B26" s="139" t="n">
        <x:f>'Model Engine'!F22</x:f>
        <x:v>3200</x:v>
      </x:c>
      <x:c r="C26" s="140"/>
      <x:c r="D26" s="139" t="n">
        <x:f>'Model Engine'!F23</x:f>
        <x:v>2600</x:v>
      </x:c>
      <x:c r="E26" s="140"/>
      <x:c r="F26" s="189" t="n">
        <x:f>'Model Engine'!F24</x:f>
        <x:v>600</x:v>
      </x:c>
      <x:c r="G26" s="190"/>
      <x:c r="H26" s="239" t="n">
        <x:f>'Model Engine'!F40</x:f>
        <x:v>667.1663133862053</x:v>
      </x:c>
      <x:c r="I26" s="240"/>
      <x:c r="J26" s="239" t="n">
        <x:f>'Model Engine'!F41</x:f>
        <x:v>53.30298005287182</x:v>
      </x:c>
      <x:c r="K26" s="240"/>
      <x:c r="L26" s="5"/>
    </x:row>
    <x:row r="27">
      <x:c r="A27" s="5"/>
      <x:c r="B27" s="141"/>
      <x:c r="C27" s="142"/>
      <x:c r="D27" s="141"/>
      <x:c r="E27" s="142"/>
      <x:c r="F27" s="191"/>
      <x:c r="G27" s="192"/>
      <x:c r="H27" s="241"/>
      <x:c r="I27" s="242"/>
      <x:c r="J27" s="241"/>
      <x:c r="K27" s="242"/>
      <x:c r="L27" s="5"/>
    </x:row>
    <x:row r="28">
      <x:c r="A28" s="5"/>
      <x:c r="B28" s="143"/>
      <x:c r="C28" s="144"/>
      <x:c r="D28" s="143"/>
      <x:c r="E28" s="144"/>
      <x:c r="F28" s="193"/>
      <x:c r="G28" s="194"/>
      <x:c r="H28" s="243"/>
      <x:c r="I28" s="244"/>
      <x:c r="J28" s="243"/>
      <x:c r="K28" s="244"/>
      <x:c r="L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</x:row>
    <x:row r="30" ht="34" customHeight="1">
      <x:c r="A30" s="5"/>
      <x:c r="B30" s="272" t="str">
        <x:f>IF('Model Engine'!F24&gt;0,"Premier gives this customer "&amp;TEXT('Model Engine'!F24,"$#,##0")&amp;" more modeled value. Under the "&amp;'Cost Center'!F5&amp;" cost basis, company contribution changes by "&amp;TEXT('Model Engine'!F42,"$#,##0")&amp;".",IF('Model Engine'!F24&lt;0,"Select gives this customer "&amp;TEXT(-'Model Engine'!F24,"$#,##0")&amp;" more modeled value. Under the "&amp;'Cost Center'!F5&amp;" cost basis, company contribution changes by "&amp;TEXT('Model Engine'!F42,"$#,##0")&amp;".","Customer cost is equal; compare product fit and contribution."))</x:f>
        <x:v>Premier gives this customer $600 more modeled value. Under the Planning cost basis, company contribution changes by -$614.</x:v>
      </x:c>
      <x:c r="C30" s="272"/>
      <x:c r="D30" s="272"/>
      <x:c r="E30" s="272"/>
      <x:c r="F30" s="272"/>
      <x:c r="G30" s="272"/>
      <x:c r="H30" s="272"/>
      <x:c r="I30" s="272"/>
      <x:c r="J30" s="272"/>
      <x:c r="K30" s="272"/>
      <x:c r="L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</x:row>
    <x:row r="33" ht="24" customHeight="1">
      <x:c r="A33" s="5"/>
      <x:c r="B33" s="28" t="str">
        <x:v>Value-stream health</x:v>
      </x:c>
      <x:c r="C33" s="28"/>
      <x:c r="D33" s="28"/>
      <x:c r="E33" s="28"/>
      <x:c r="F33" s="28"/>
      <x:c r="G33" s="28"/>
      <x:c r="H33" s="28"/>
      <x:c r="I33" s="28"/>
      <x:c r="J33" s="28"/>
      <x:c r="K33" s="28"/>
      <x:c r="L33" s="5"/>
    </x:row>
    <x:row r="34" ht="27" customHeight="1">
      <x:c r="A34" s="5"/>
      <x:c r="B34" s="444" t="str">
        <x:v>VALUE STREAM</x:v>
      </x:c>
      <x:c r="C34" s="444"/>
      <x:c r="D34" s="444" t="str">
        <x:v>CUSTOMER OUTCOME</x:v>
      </x:c>
      <x:c r="E34" s="444"/>
      <x:c r="F34" s="444" t="str">
        <x:v>PRIMARY KPI</x:v>
      </x:c>
      <x:c r="G34" s="444"/>
      <x:c r="H34" s="444" t="str">
        <x:v>CURRENT</x:v>
      </x:c>
      <x:c r="I34" s="444"/>
      <x:c r="J34" s="444" t="str">
        <x:v>STATUS</x:v>
      </x:c>
      <x:c r="K34" s="444"/>
      <x:c r="L34" s="5"/>
    </x:row>
    <x:row r="35" ht="40" customHeight="1">
      <x:c r="A35" s="5"/>
      <x:c r="B35" s="276" t="str">
        <x:v>Attract &amp; Join</x:v>
      </x:c>
      <x:c r="C35" s="276"/>
      <x:c r="D35" s="76" t="str">
        <x:v>Member chooses a plan and starts.</x:v>
      </x:c>
      <x:c r="E35" s="76"/>
      <x:c r="F35" s="76" t="str">
        <x:v>Membership conversion</x:v>
      </x:c>
      <x:c r="G35" s="76"/>
      <x:c r="H35" s="76" t="str">
        <x:v>—</x:v>
      </x:c>
      <x:c r="I35" s="76"/>
      <x:c r="J35" s="76" t="str">
        <x:v>Input needed</x:v>
      </x:c>
      <x:c r="K35" s="76"/>
      <x:c r="L35" s="5"/>
    </x:row>
    <x:row r="36" ht="40" customHeight="1">
      <x:c r="A36" s="5"/>
      <x:c r="B36" s="278" t="str">
        <x:v>Verify &amp; Activate</x:v>
      </x:c>
      <x:c r="C36" s="278"/>
      <x:c r="D36" s="66" t="str">
        <x:v>Required services become active.</x:v>
      </x:c>
      <x:c r="E36" s="66"/>
      <x:c r="F36" s="66" t="str">
        <x:v>Activation time</x:v>
      </x:c>
      <x:c r="G36" s="66"/>
      <x:c r="H36" s="66" t="str">
        <x:v>—</x:v>
      </x:c>
      <x:c r="I36" s="66"/>
      <x:c r="J36" s="66" t="str">
        <x:v>Input needed</x:v>
      </x:c>
      <x:c r="K36" s="66"/>
      <x:c r="L36" s="5"/>
    </x:row>
    <x:row r="37" ht="40" customHeight="1">
      <x:c r="A37" s="5"/>
      <x:c r="B37" s="276" t="str">
        <x:v>Get Paid</x:v>
      </x:c>
      <x:c r="C37" s="276"/>
      <x:c r="D37" s="76" t="str">
        <x:v>Customer sales are accepted and settled.</x:v>
      </x:c>
      <x:c r="E37" s="76"/>
      <x:c r="F37" s="76" t="str">
        <x:v>Payment success / payout SLA</x:v>
      </x:c>
      <x:c r="G37" s="76"/>
      <x:c r="H37" s="76" t="str">
        <x:v>—</x:v>
      </x:c>
      <x:c r="I37" s="76"/>
      <x:c r="J37" s="76" t="str">
        <x:v>Input needed</x:v>
      </x:c>
      <x:c r="K37" s="76"/>
      <x:c r="L37" s="5"/>
    </x:row>
    <x:row r="38" ht="40" customHeight="1">
      <x:c r="A38" s="5"/>
      <x:c r="B38" s="278" t="str">
        <x:v>Pay &amp; Spend</x:v>
      </x:c>
      <x:c r="C38" s="278"/>
      <x:c r="D38" s="66" t="str">
        <x:v>Purchases are controlled and repaid.</x:v>
      </x:c>
      <x:c r="E38" s="66"/>
      <x:c r="F38" s="66" t="str">
        <x:v>Approval rate / loss rate</x:v>
      </x:c>
      <x:c r="G38" s="66"/>
      <x:c r="H38" s="66" t="str">
        <x:v>—</x:v>
      </x:c>
      <x:c r="I38" s="66"/>
      <x:c r="J38" s="66" t="str">
        <x:v>Input needed</x:v>
      </x:c>
      <x:c r="K38" s="66"/>
      <x:c r="L38" s="5"/>
    </x:row>
    <x:row r="39" ht="40" customHeight="1">
      <x:c r="A39" s="5"/>
      <x:c r="B39" s="276" t="str">
        <x:v>Serve &amp; Protect</x:v>
      </x:c>
      <x:c r="C39" s="276"/>
      <x:c r="D39" s="76" t="str">
        <x:v>Issues are resolved with clear ownership.</x:v>
      </x:c>
      <x:c r="E39" s="76"/>
      <x:c r="F39" s="76" t="str">
        <x:v>Resolution time / reopen rate</x:v>
      </x:c>
      <x:c r="G39" s="76"/>
      <x:c r="H39" s="76" t="str">
        <x:v>—</x:v>
      </x:c>
      <x:c r="I39" s="76"/>
      <x:c r="J39" s="76" t="str">
        <x:v>Input needed</x:v>
      </x:c>
      <x:c r="K39" s="76"/>
      <x:c r="L39" s="5"/>
    </x:row>
    <x:row r="40" ht="40" customHeight="1">
      <x:c r="A40" s="5"/>
      <x:c r="B40" s="278" t="str">
        <x:v>Reward &amp; Retain</x:v>
      </x:c>
      <x:c r="C40" s="278"/>
      <x:c r="D40" s="66" t="str">
        <x:v>Value is visible and membership renews.</x:v>
      </x:c>
      <x:c r="E40" s="66"/>
      <x:c r="F40" s="66" t="str">
        <x:v>Renewal / bonus utilization</x:v>
      </x:c>
      <x:c r="G40" s="66"/>
      <x:c r="H40" s="66" t="str">
        <x:v>—</x:v>
      </x:c>
      <x:c r="I40" s="66"/>
      <x:c r="J40" s="66" t="str">
        <x:v>Input needed</x:v>
      </x:c>
      <x:c r="K40" s="66"/>
      <x:c r="L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</x:row>
    <x:row r="43" ht="24" customHeight="1">
      <x:c r="A43" s="5"/>
      <x:c r="B43" s="459" t="str">
        <x:v>Cost and decision status</x:v>
      </x:c>
      <x:c r="C43" s="459"/>
      <x:c r="D43" s="459"/>
      <x:c r="E43" s="459"/>
      <x:c r="F43" s="459"/>
      <x:c r="G43" s="459"/>
      <x:c r="H43" s="459"/>
      <x:c r="I43" s="459"/>
      <x:c r="J43" s="459"/>
      <x:c r="K43" s="459"/>
      <x:c r="L43" s="5"/>
    </x:row>
    <x:row r="44" ht="31" customHeight="1">
      <x:c r="A44" s="5"/>
      <x:c r="B44" s="465" t="str">
        <x:v>Cost model basis</x:v>
      </x:c>
      <x:c r="C44" s="465"/>
      <x:c r="D44" s="465"/>
      <x:c r="E44" s="680" t="str">
        <x:f>'Cost Center'!F5</x:f>
        <x:v>Planning</x:v>
      </x:c>
      <x:c r="F44" s="680"/>
      <x:c r="G44" s="465" t="str">
        <x:v>Planning uses benchmarks; Contracted and Actual require entered rates.</x:v>
      </x:c>
      <x:c r="H44" s="465"/>
      <x:c r="I44" s="465"/>
      <x:c r="J44" s="465"/>
      <x:c r="K44" s="465"/>
      <x:c r="L44" s="5"/>
    </x:row>
    <x:row r="45" ht="31" customHeight="1">
      <x:c r="A45" s="5"/>
      <x:c r="B45" s="471" t="str">
        <x:v>Cost completeness</x:v>
      </x:c>
      <x:c r="C45" s="471"/>
      <x:c r="D45" s="471"/>
      <x:c r="E45" s="621" t="n">
        <x:f>'Cost Center'!F27</x:f>
        <x:v>0.5833333333333333</x:v>
      </x:c>
      <x:c r="F45" s="621"/>
      <x:c r="G45" s="471" t="str">
        <x:v>Percent of enabled cost lines with an active rate.</x:v>
      </x:c>
      <x:c r="H45" s="471"/>
      <x:c r="I45" s="471"/>
      <x:c r="J45" s="471"/>
      <x:c r="K45" s="471"/>
      <x:c r="L45" s="5"/>
    </x:row>
    <x:row r="46" ht="31" customHeight="1">
      <x:c r="A46" s="5"/>
      <x:c r="B46" s="465" t="str">
        <x:v>Missing rate-card lines</x:v>
      </x:c>
      <x:c r="C46" s="465"/>
      <x:c r="D46" s="465"/>
      <x:c r="E46" s="620" t="n">
        <x:f>'Cost Center'!F28</x:f>
        <x:v>25</x:v>
      </x:c>
      <x:c r="F46" s="620"/>
      <x:c r="G46" s="465" t="str">
        <x:v>Review Rate Cards before approving pricing.</x:v>
      </x:c>
      <x:c r="H46" s="465"/>
      <x:c r="I46" s="465"/>
      <x:c r="J46" s="465"/>
      <x:c r="K46" s="465"/>
      <x:c r="L46" s="5"/>
    </x:row>
    <x:row r="47" ht="31" customHeight="1">
      <x:c r="A47" s="5"/>
      <x:c r="B47" s="471" t="str">
        <x:v>Select modeled operating cost</x:v>
      </x:c>
      <x:c r="C47" s="471"/>
      <x:c r="D47" s="471"/>
      <x:c r="E47" s="693" t="n">
        <x:f>'Cost Center'!F22</x:f>
        <x:v>968.8336866137948</x:v>
      </x:c>
      <x:c r="F47" s="693"/>
      <x:c r="G47" s="471" t="str">
        <x:v>Membership + PayFac + issuing + shared + partner costs.</x:v>
      </x:c>
      <x:c r="H47" s="471"/>
      <x:c r="I47" s="471"/>
      <x:c r="J47" s="471"/>
      <x:c r="K47" s="471"/>
      <x:c r="L47" s="5"/>
    </x:row>
    <x:row r="48" ht="31" customHeight="1">
      <x:c r="A48" s="5"/>
      <x:c r="B48" s="465" t="str">
        <x:v>Premier modeled operating cost</x:v>
      </x:c>
      <x:c r="C48" s="465"/>
      <x:c r="D48" s="465"/>
      <x:c r="E48" s="694" t="n">
        <x:f>'Cost Center'!I22</x:f>
        <x:v>982.6970199471282</x:v>
      </x:c>
      <x:c r="F48" s="694"/>
      <x:c r="G48" s="465" t="str">
        <x:v>Uses the same activity with Premier service assumptions.</x:v>
      </x:c>
      <x:c r="H48" s="465"/>
      <x:c r="I48" s="465"/>
      <x:c r="J48" s="465"/>
      <x:c r="K48" s="465"/>
      <x:c r="L48" s="5"/>
    </x:row>
    <x:row r="49" ht="31" customHeight="1">
      <x:c r="A49" s="5"/>
      <x:c r="B49" s="471" t="str">
        <x:v>Premier customer value</x:v>
      </x:c>
      <x:c r="C49" s="471"/>
      <x:c r="D49" s="471"/>
      <x:c r="E49" s="693" t="n">
        <x:f>'Model Engine'!F24</x:f>
        <x:v>600</x:v>
      </x:c>
      <x:c r="F49" s="693"/>
      <x:c r="G49" s="471" t="str">
        <x:v>Positive means Premier costs the customer less.</x:v>
      </x:c>
      <x:c r="H49" s="471"/>
      <x:c r="I49" s="471"/>
      <x:c r="J49" s="471"/>
      <x:c r="K49" s="471"/>
      <x:c r="L49" s="5"/>
    </x:row>
    <x:row r="50" ht="31" customHeight="1">
      <x:c r="A50" s="5"/>
      <x:c r="B50" s="465" t="str">
        <x:v>Premier contribution change</x:v>
      </x:c>
      <x:c r="C50" s="465"/>
      <x:c r="D50" s="465"/>
      <x:c r="E50" s="694" t="n">
        <x:f>'Model Engine'!F42</x:f>
        <x:v>-613.8633333333335</x:v>
      </x:c>
      <x:c r="F50" s="694"/>
      <x:c r="G50" s="465" t="str">
        <x:v>Negative means Premier transfers more economics to the customer.</x:v>
      </x:c>
      <x:c r="H50" s="465"/>
      <x:c r="I50" s="465"/>
      <x:c r="J50" s="465"/>
      <x:c r="K50" s="465"/>
      <x:c r="L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</x:row>
  </x:sheetData>
  <x:mergeCells>
    <x:mergeCell ref="B2:K2"/>
    <x:mergeCell ref="B3:K3"/>
    <x:mergeCell ref="B5:K5"/>
    <x:mergeCell ref="B7:K7"/>
    <x:mergeCell ref="B9:C9"/>
    <x:mergeCell ref="D9:E9"/>
    <x:mergeCell ref="F9:G9"/>
    <x:mergeCell ref="H9:I9"/>
    <x:mergeCell ref="J9:K9"/>
    <x:mergeCell ref="B10:C10"/>
    <x:mergeCell ref="D10:E10"/>
    <x:mergeCell ref="F10:G10"/>
    <x:mergeCell ref="H10:I10"/>
    <x:mergeCell ref="J10:K10"/>
    <x:mergeCell ref="B11:C11"/>
    <x:mergeCell ref="D11:E11"/>
    <x:mergeCell ref="F11:G11"/>
    <x:mergeCell ref="H11:I11"/>
    <x:mergeCell ref="J11:K11"/>
    <x:mergeCell ref="B14:K14"/>
    <x:mergeCell ref="B17:D17"/>
    <x:mergeCell ref="F17:H17"/>
    <x:mergeCell ref="B18:D18"/>
    <x:mergeCell ref="F18:H18"/>
    <x:mergeCell ref="B19:D19"/>
    <x:mergeCell ref="F19:H19"/>
    <x:mergeCell ref="B20:D20"/>
    <x:mergeCell ref="F20:H20"/>
    <x:mergeCell ref="B21:D21"/>
    <x:mergeCell ref="F21:H21"/>
    <x:mergeCell ref="B24:K24"/>
    <x:mergeCell ref="B25:C25"/>
    <x:mergeCell ref="B26:C28"/>
    <x:mergeCell ref="D25:E25"/>
    <x:mergeCell ref="D26:E28"/>
    <x:mergeCell ref="F25:G25"/>
    <x:mergeCell ref="F26:G28"/>
    <x:mergeCell ref="H25:I25"/>
    <x:mergeCell ref="H26:I28"/>
    <x:mergeCell ref="J25:K25"/>
    <x:mergeCell ref="J26:K28"/>
    <x:mergeCell ref="B30:K30"/>
    <x:mergeCell ref="B33:K33"/>
    <x:mergeCell ref="B35:C35"/>
    <x:mergeCell ref="D35:E35"/>
    <x:mergeCell ref="F35:G35"/>
    <x:mergeCell ref="H35:I35"/>
    <x:mergeCell ref="J35:K35"/>
    <x:mergeCell ref="B36:C36"/>
    <x:mergeCell ref="D36:E36"/>
    <x:mergeCell ref="F36:G36"/>
    <x:mergeCell ref="H36:I36"/>
    <x:mergeCell ref="J36:K36"/>
    <x:mergeCell ref="B37:C37"/>
    <x:mergeCell ref="D37:E37"/>
    <x:mergeCell ref="F37:G37"/>
    <x:mergeCell ref="H37:I37"/>
    <x:mergeCell ref="J37:K37"/>
    <x:mergeCell ref="B38:C38"/>
    <x:mergeCell ref="D38:E38"/>
    <x:mergeCell ref="F38:G38"/>
    <x:mergeCell ref="H38:I38"/>
    <x:mergeCell ref="J38:K38"/>
    <x:mergeCell ref="B39:C39"/>
    <x:mergeCell ref="D39:E39"/>
    <x:mergeCell ref="F39:G39"/>
    <x:mergeCell ref="H39:I39"/>
    <x:mergeCell ref="J39:K39"/>
    <x:mergeCell ref="B40:C40"/>
    <x:mergeCell ref="D40:E40"/>
    <x:mergeCell ref="F40:G40"/>
    <x:mergeCell ref="H40:I40"/>
    <x:mergeCell ref="J40:K40"/>
    <x:mergeCell ref="B43:K43"/>
    <x:mergeCell ref="B8:C8"/>
    <x:mergeCell ref="D8:E8"/>
    <x:mergeCell ref="F8:G8"/>
    <x:mergeCell ref="H8:I8"/>
    <x:mergeCell ref="J8:K8"/>
    <x:mergeCell ref="B34:C34"/>
    <x:mergeCell ref="D34:E34"/>
    <x:mergeCell ref="F34:G34"/>
    <x:mergeCell ref="H34:I34"/>
    <x:mergeCell ref="J34:K34"/>
    <x:mergeCell ref="B44:D44"/>
    <x:mergeCell ref="E44:F44"/>
    <x:mergeCell ref="G44:K44"/>
    <x:mergeCell ref="B45:D45"/>
    <x:mergeCell ref="E45:F45"/>
    <x:mergeCell ref="G45:K45"/>
    <x:mergeCell ref="B46:D46"/>
    <x:mergeCell ref="E46:F46"/>
    <x:mergeCell ref="G46:K46"/>
    <x:mergeCell ref="B47:D47"/>
    <x:mergeCell ref="E47:F47"/>
    <x:mergeCell ref="G47:K47"/>
    <x:mergeCell ref="B48:D48"/>
    <x:mergeCell ref="E48:F48"/>
    <x:mergeCell ref="G48:K48"/>
    <x:mergeCell ref="B49:D49"/>
    <x:mergeCell ref="E49:F49"/>
    <x:mergeCell ref="G49:K49"/>
    <x:mergeCell ref="B50:D50"/>
    <x:mergeCell ref="E50:F50"/>
    <x:mergeCell ref="G50:K50"/>
  </x:mergeCells>
  <x:dataValidations count="1">
    <x:dataValidation type="list" sqref="E17">
      <x:formula1>"Annual,Monthly"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5" hidden="0" customWidth="1"/>
    <x:col min="3" max="3" width="21" hidden="0" customWidth="1"/>
    <x:col min="4" max="4" width="3" hidden="0" customWidth="1"/>
    <x:col min="5" max="5" width="21" hidden="0" customWidth="1"/>
    <x:col min="6" max="6" width="3" hidden="0" customWidth="1"/>
    <x:col min="7" max="7" width="21" hidden="0" customWidth="1"/>
    <x:col min="8" max="8" width="3" hidden="0" customWidth="1"/>
    <x:col min="9" max="9" width="21" hidden="0" customWidth="1"/>
    <x:col min="10" max="10" width="3" hidden="0" customWidth="1"/>
    <x:col min="11" max="11" width="21" hidden="0" customWidth="1"/>
    <x:col min="12" max="12" width="2.20000004768371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5"/>
      <x:c r="B2" s="12" t="str">
        <x:v>Value Streams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5"/>
    </x:row>
    <x:row r="3" ht="24" customHeight="1">
      <x:c r="A3" s="5"/>
      <x:c r="B3" s="18" t="str">
        <x:v>Top-down process architecture: customer outcome first, then workflow, control and economics.</x:v>
      </x:c>
      <x:c r="C3" s="18"/>
      <x:c r="D3" s="18"/>
      <x:c r="E3" s="18"/>
      <x:c r="F3" s="18"/>
      <x:c r="G3" s="18"/>
      <x:c r="H3" s="18"/>
      <x:c r="I3" s="18"/>
      <x:c r="J3" s="18"/>
      <x:c r="K3" s="18"/>
      <x:c r="L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31" customHeight="1">
      <x:c r="A5" s="5"/>
      <x:c r="B5" s="111" t="str">
        <x:v>Use this sheet as the Level 0–Level 2 map. Detailed tasks live in Operations, PayFac Detail and Issuing Detail.</x:v>
      </x:c>
      <x:c r="C5" s="111"/>
      <x:c r="D5" s="111"/>
      <x:c r="E5" s="111"/>
      <x:c r="F5" s="111"/>
      <x:c r="G5" s="111"/>
      <x:c r="H5" s="111"/>
      <x:c r="I5" s="111"/>
      <x:c r="J5" s="111"/>
      <x:c r="K5" s="111"/>
      <x:c r="L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</x:row>
    <x:row r="7" ht="24" customHeight="1">
      <x:c r="A7" s="5"/>
      <x:c r="B7" s="28" t="str">
        <x:v>Process hierarchy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5"/>
    </x:row>
    <x:row r="8" ht="31" customHeight="1">
      <x:c r="A8" s="5"/>
      <x:c r="B8" s="276" t="str">
        <x:v>LEVEL 0</x:v>
      </x:c>
      <x:c r="C8" s="276"/>
      <x:c r="D8" s="76" t="str">
        <x:v>Operating model</x:v>
      </x:c>
      <x:c r="E8" s="76"/>
      <x:c r="F8" s="76" t="str">
        <x:v>How the company delivers member value end to end.</x:v>
      </x:c>
      <x:c r="G8" s="76"/>
      <x:c r="H8" s="76"/>
      <x:c r="I8" s="76"/>
      <x:c r="J8" s="76"/>
      <x:c r="K8" s="76"/>
      <x:c r="L8" s="5"/>
    </x:row>
    <x:row r="9" ht="31" customHeight="1">
      <x:c r="A9" s="5"/>
      <x:c r="B9" s="278" t="str">
        <x:v>LEVEL 1</x:v>
      </x:c>
      <x:c r="C9" s="278"/>
      <x:c r="D9" s="66" t="str">
        <x:v>Value stream</x:v>
      </x:c>
      <x:c r="E9" s="66"/>
      <x:c r="F9" s="66" t="str">
        <x:v>A customer outcome spanning teams and systems.</x:v>
      </x:c>
      <x:c r="G9" s="66"/>
      <x:c r="H9" s="66"/>
      <x:c r="I9" s="66"/>
      <x:c r="J9" s="66"/>
      <x:c r="K9" s="66"/>
      <x:c r="L9" s="5"/>
    </x:row>
    <x:row r="10" ht="31" customHeight="1">
      <x:c r="A10" s="5"/>
      <x:c r="B10" s="276" t="str">
        <x:v>LEVEL 2</x:v>
      </x:c>
      <x:c r="C10" s="276"/>
      <x:c r="D10" s="76" t="str">
        <x:v>Service / process</x:v>
      </x:c>
      <x:c r="E10" s="76"/>
      <x:c r="F10" s="76" t="str">
        <x:v>Get Paid, Pay &amp; Spend, Share &amp; Control, Help &amp; Resolve.</x:v>
      </x:c>
      <x:c r="G10" s="76"/>
      <x:c r="H10" s="76"/>
      <x:c r="I10" s="76"/>
      <x:c r="J10" s="76"/>
      <x:c r="K10" s="76"/>
      <x:c r="L10" s="5"/>
    </x:row>
    <x:row r="11" ht="31" customHeight="1">
      <x:c r="A11" s="5"/>
      <x:c r="B11" s="278" t="str">
        <x:v>LEVEL 3</x:v>
      </x:c>
      <x:c r="C11" s="278"/>
      <x:c r="D11" s="66" t="str">
        <x:v>Playbook / workflow</x:v>
      </x:c>
      <x:c r="E11" s="66"/>
      <x:c r="F11" s="66" t="str">
        <x:v>A staged process such as Seller onboarding or payment dispute.</x:v>
      </x:c>
      <x:c r="G11" s="66"/>
      <x:c r="H11" s="66"/>
      <x:c r="I11" s="66"/>
      <x:c r="J11" s="66"/>
      <x:c r="K11" s="66"/>
      <x:c r="L11" s="5"/>
    </x:row>
    <x:row r="12" ht="31" customHeight="1">
      <x:c r="A12" s="5"/>
      <x:c r="B12" s="276" t="str">
        <x:v>LEVEL 4</x:v>
      </x:c>
      <x:c r="C12" s="276"/>
      <x:c r="D12" s="76" t="str">
        <x:v>Task / control</x:v>
      </x:c>
      <x:c r="E12" s="76"/>
      <x:c r="F12" s="76" t="str">
        <x:v>A specific action, decision, validation or handoff.</x:v>
      </x:c>
      <x:c r="G12" s="76"/>
      <x:c r="H12" s="76"/>
      <x:c r="I12" s="76"/>
      <x:c r="J12" s="76"/>
      <x:c r="K12" s="76"/>
      <x:c r="L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</x:row>
    <x:row r="15" ht="24" customHeight="1">
      <x:c r="A15" s="5"/>
      <x:c r="B15" s="28" t="str">
        <x:v>Level 1 value chain</x:v>
      </x:c>
      <x:c r="C15" s="28"/>
      <x:c r="D15" s="28"/>
      <x:c r="E15" s="28"/>
      <x:c r="F15" s="28"/>
      <x:c r="G15" s="28"/>
      <x:c r="H15" s="28"/>
      <x:c r="I15" s="28"/>
      <x:c r="J15" s="28"/>
      <x:c r="K15" s="28"/>
      <x:c r="L15" s="5"/>
    </x:row>
    <x:row r="16" ht="25" customHeight="1">
      <x:c r="A16" s="5"/>
      <x:c r="B16" s="35" t="str">
        <x:v>VALUE STREAM</x:v>
      </x:c>
      <x:c r="C16" s="35"/>
      <x:c r="D16" s="35" t="str">
        <x:v>CUSTOMER OUTCOME</x:v>
      </x:c>
      <x:c r="E16" s="35"/>
      <x:c r="F16" s="35" t="str">
        <x:v>CORE STAGES</x:v>
      </x:c>
      <x:c r="G16" s="35"/>
      <x:c r="H16" s="35" t="str">
        <x:v>PRIMARY OWNER</x:v>
      </x:c>
      <x:c r="I16" s="35"/>
      <x:c r="J16" s="35" t="str">
        <x:v>KEY KPI / ECONOMICS</x:v>
      </x:c>
      <x:c r="K16" s="35"/>
      <x:c r="L16" s="5"/>
    </x:row>
    <x:row r="17" ht="51" customHeight="1">
      <x:c r="A17" s="5"/>
      <x:c r="B17" s="114" t="str">
        <x:v>Attract &amp; Join</x:v>
      </x:c>
      <x:c r="C17" s="114"/>
      <x:c r="D17" s="53" t="str">
        <x:v>A suitable customer chooses membership.</x:v>
      </x:c>
      <x:c r="E17" s="53"/>
      <x:c r="F17" s="53" t="str">
        <x:v>Discover → compare → join → welcome</x:v>
      </x:c>
      <x:c r="G17" s="53"/>
      <x:c r="H17" s="53" t="str">
        <x:v>Growth / Membership</x:v>
      </x:c>
      <x:c r="I17" s="53"/>
      <x:c r="J17" s="53" t="str">
        <x:v>Conversion, CAC, fee income</x:v>
      </x:c>
      <x:c r="K17" s="53"/>
      <x:c r="L17" s="5"/>
    </x:row>
    <x:row r="18" ht="51" customHeight="1">
      <x:c r="A18" s="5"/>
      <x:c r="B18" s="116" t="str">
        <x:v>Verify &amp; Activate</x:v>
      </x:c>
      <x:c r="C18" s="116"/>
      <x:c r="D18" s="40" t="str">
        <x:v>The right customer receives the right approved service.</x:v>
      </x:c>
      <x:c r="E18" s="40"/>
      <x:c r="F18" s="40" t="str">
        <x:v>Collect → verify → decide → configure → activate</x:v>
      </x:c>
      <x:c r="G18" s="40"/>
      <x:c r="H18" s="40" t="str">
        <x:v>Operations / Risk</x:v>
      </x:c>
      <x:c r="I18" s="40"/>
      <x:c r="J18" s="40" t="str">
        <x:v>Approval, activation time, manual review</x:v>
      </x:c>
      <x:c r="K18" s="40"/>
      <x:c r="L18" s="5"/>
    </x:row>
    <x:row r="19" ht="51" customHeight="1">
      <x:c r="A19" s="5"/>
      <x:c r="B19" s="114" t="str">
        <x:v>Get Paid</x:v>
      </x:c>
      <x:c r="C19" s="114"/>
      <x:c r="D19" s="53" t="str">
        <x:v>A sale is accepted, settled and reconciled.</x:v>
      </x:c>
      <x:c r="E19" s="53"/>
      <x:c r="F19" s="53" t="str">
        <x:v>Offer → authorize → capture → settle → payout → reconcile</x:v>
      </x:c>
      <x:c r="G19" s="53"/>
      <x:c r="H19" s="53" t="str">
        <x:v>Payments Operations</x:v>
      </x:c>
      <x:c r="I19" s="53"/>
      <x:c r="J19" s="53" t="str">
        <x:v>TPV, success, take rate, loss, payout SLA</x:v>
      </x:c>
      <x:c r="K19" s="53"/>
      <x:c r="L19" s="5"/>
    </x:row>
    <x:row r="20" ht="51" customHeight="1">
      <x:c r="A20" s="5"/>
      <x:c r="B20" s="116" t="str">
        <x:v>Pay &amp; Spend</x:v>
      </x:c>
      <x:c r="C20" s="116"/>
      <x:c r="D20" s="40" t="str">
        <x:v>A purchase is controlled, funded, settled and repaid.</x:v>
      </x:c>
      <x:c r="E20" s="40"/>
      <x:c r="F20" s="40" t="str">
        <x:v>Approve → fund/secure → authorize → settle → repay → reconcile</x:v>
      </x:c>
      <x:c r="G20" s="40"/>
      <x:c r="H20" s="40" t="str">
        <x:v>Issuing Operations</x:v>
      </x:c>
      <x:c r="I20" s="40"/>
      <x:c r="J20" s="40" t="str">
        <x:v>Spend, approval, issuer yield, rewards, fraud, funding days</x:v>
      </x:c>
      <x:c r="K20" s="40"/>
      <x:c r="L20" s="5"/>
    </x:row>
    <x:row r="21" ht="51" customHeight="1">
      <x:c r="A21" s="5"/>
      <x:c r="B21" s="114" t="str">
        <x:v>Serve &amp; Protect</x:v>
      </x:c>
      <x:c r="C21" s="114"/>
      <x:c r="D21" s="53" t="str">
        <x:v>Questions, claims and exceptions reach resolution.</x:v>
      </x:c>
      <x:c r="E21" s="53"/>
      <x:c r="F21" s="53" t="str">
        <x:v>Intake → triage → investigate → resolve → communicate → close</x:v>
      </x:c>
      <x:c r="G21" s="53"/>
      <x:c r="H21" s="53" t="str">
        <x:v>Service / Risk</x:v>
      </x:c>
      <x:c r="I21" s="53"/>
      <x:c r="J21" s="53" t="str">
        <x:v>Case volume, SLA, resolution, reopen, loss</x:v>
      </x:c>
      <x:c r="K21" s="53"/>
      <x:c r="L21" s="5"/>
    </x:row>
    <x:row r="22" ht="51" customHeight="1">
      <x:c r="A22" s="5"/>
      <x:c r="B22" s="116" t="str">
        <x:v>Reward &amp; Retain</x:v>
      </x:c>
      <x:c r="C22" s="116"/>
      <x:c r="D22" s="40" t="str">
        <x:v>The member sees value and continues the relationship.</x:v>
      </x:c>
      <x:c r="E22" s="40"/>
      <x:c r="F22" s="40" t="str">
        <x:v>Calculate → accrue → credit → show value → renew/upgrade/cancel</x:v>
      </x:c>
      <x:c r="G22" s="40"/>
      <x:c r="H22" s="40" t="str">
        <x:v>Membership / Finance</x:v>
      </x:c>
      <x:c r="I22" s="40"/>
      <x:c r="J22" s="40" t="str">
        <x:v>Reward cost, utilization, renewal, contribution</x:v>
      </x:c>
      <x:c r="K22" s="40"/>
      <x:c r="L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</x:row>
    <x:row r="26" ht="24" customHeight="1">
      <x:c r="A26" s="5"/>
      <x:c r="B26" s="28" t="str">
        <x:v>Level 2 process map by workspace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"/>
    </x:row>
    <x:row r="27" ht="25" customHeight="1">
      <x:c r="A27" s="5"/>
      <x:c r="B27" s="35" t="str">
        <x:v>WORKSPACE</x:v>
      </x:c>
      <x:c r="C27" s="35"/>
      <x:c r="D27" s="35" t="str">
        <x:v>GET PAID</x:v>
      </x:c>
      <x:c r="E27" s="35"/>
      <x:c r="F27" s="35" t="str">
        <x:v>PAY &amp; SPEND</x:v>
      </x:c>
      <x:c r="G27" s="35"/>
      <x:c r="H27" s="35" t="str">
        <x:v>SHARE &amp; CONTROL</x:v>
      </x:c>
      <x:c r="I27" s="35"/>
      <x:c r="J27" s="35" t="str">
        <x:v>HELP &amp; RESOLVE</x:v>
      </x:c>
      <x:c r="K27" s="35"/>
      <x:c r="L27" s="5"/>
    </x:row>
    <x:row r="28" ht="49" customHeight="1">
      <x:c r="A28" s="5"/>
      <x:c r="B28" s="290" t="str">
        <x:v>Personal</x:v>
      </x:c>
      <x:c r="C28" s="290"/>
      <x:c r="D28" s="5" t="str">
        <x:v>Quick Sell</x:v>
      </x:c>
      <x:c r="E28" s="5"/>
      <x:c r="F28" s="5" t="str">
        <x:v>Owner-controlled consumer spending</x:v>
      </x:c>
      <x:c r="G28" s="5"/>
      <x:c r="H28" s="5" t="str">
        <x:v>Private settings and purpose-based access</x:v>
      </x:c>
      <x:c r="I28" s="5"/>
      <x:c r="J28" s="5" t="str">
        <x:v>Application, billing, access and transaction support</x:v>
      </x:c>
      <x:c r="K28" s="5"/>
      <x:c r="L28" s="5"/>
    </x:row>
    <x:row r="29" ht="49" customHeight="1">
      <x:c r="A29" s="5"/>
      <x:c r="B29" s="292" t="str">
        <x:v>Household</x:v>
      </x:c>
      <x:c r="C29" s="292"/>
      <x:c r="D29" s="52" t="str">
        <x:v>Assist a named Seller</x:v>
      </x:c>
      <x:c r="E29" s="52"/>
      <x:c r="F29" s="52" t="str">
        <x:v>Authorized adult or supervised funded access</x:v>
      </x:c>
      <x:c r="G29" s="52"/>
      <x:c r="H29" s="52" t="str">
        <x:v>Roles, limits, visibility and shared budgets</x:v>
      </x:c>
      <x:c r="I29" s="52"/>
      <x:c r="J29" s="52" t="str">
        <x:v>Invitation, permission, youth and shared-spending support</x:v>
      </x:c>
      <x:c r="K29" s="52"/>
      <x:c r="L29" s="5"/>
    </x:row>
    <x:row r="30" ht="49" customHeight="1">
      <x:c r="A30" s="5"/>
      <x:c r="B30" s="290" t="str">
        <x:v>Seller</x:v>
      </x:c>
      <x:c r="C30" s="290"/>
      <x:c r="D30" s="5" t="str">
        <x:v>Full payment acceptance and payouts</x:v>
      </x:c>
      <x:c r="E30" s="5"/>
      <x:c r="F30" s="5" t="str">
        <x:v>Commercial spending and team controls</x:v>
      </x:c>
      <x:c r="G30" s="5"/>
      <x:c r="H30" s="5" t="str">
        <x:v>Seller roles, approvals and vendor/project policies</x:v>
      </x:c>
      <x:c r="I30" s="5"/>
      <x:c r="J30" s="5" t="str">
        <x:v>Onboarding, payout, refund, dispute, risk and integration support</x:v>
      </x:c>
      <x:c r="K30" s="5"/>
      <x:c r="L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</x:row>
    <x:row r="34" ht="24" customHeight="1">
      <x:c r="A34" s="5"/>
      <x:c r="B34" s="28" t="str">
        <x:v>Closed-loop improvement</x:v>
      </x:c>
      <x:c r="C34" s="28"/>
      <x:c r="D34" s="28"/>
      <x:c r="E34" s="28"/>
      <x:c r="F34" s="28"/>
      <x:c r="G34" s="28"/>
      <x:c r="H34" s="28"/>
      <x:c r="I34" s="28"/>
      <x:c r="J34" s="28"/>
      <x:c r="K34" s="28"/>
      <x:c r="L34" s="5"/>
    </x:row>
    <x:row r="35" ht="32" customHeight="1">
      <x:c r="A35" s="5"/>
      <x:c r="B35" s="278" t="str">
        <x:v>Define</x:v>
      </x:c>
      <x:c r="C35" s="278"/>
      <x:c r="D35" s="278"/>
      <x:c r="E35" s="66" t="str">
        <x:v>Document the intended process, owner, controls and target KPI.</x:v>
      </x:c>
      <x:c r="F35" s="66"/>
      <x:c r="G35" s="66"/>
      <x:c r="H35" s="66"/>
      <x:c r="I35" s="66"/>
      <x:c r="J35" s="66"/>
      <x:c r="K35" s="66"/>
      <x:c r="L35" s="5"/>
    </x:row>
    <x:row r="36" ht="32" customHeight="1">
      <x:c r="A36" s="5"/>
      <x:c r="B36" s="276" t="str">
        <x:v>Observe</x:v>
      </x:c>
      <x:c r="C36" s="276"/>
      <x:c r="D36" s="276"/>
      <x:c r="E36" s="76" t="str">
        <x:v>Capture actual events, stages, variants, delays and rework.</x:v>
      </x:c>
      <x:c r="F36" s="76"/>
      <x:c r="G36" s="76"/>
      <x:c r="H36" s="76"/>
      <x:c r="I36" s="76"/>
      <x:c r="J36" s="76"/>
      <x:c r="K36" s="76"/>
      <x:c r="L36" s="5"/>
    </x:row>
    <x:row r="37" ht="32" customHeight="1">
      <x:c r="A37" s="5"/>
      <x:c r="B37" s="278" t="str">
        <x:v>Diagnose</x:v>
      </x:c>
      <x:c r="C37" s="278"/>
      <x:c r="D37" s="278"/>
      <x:c r="E37" s="66" t="str">
        <x:v>Compare actual performance with the intended path.</x:v>
      </x:c>
      <x:c r="F37" s="66"/>
      <x:c r="G37" s="66"/>
      <x:c r="H37" s="66"/>
      <x:c r="I37" s="66"/>
      <x:c r="J37" s="66"/>
      <x:c r="K37" s="66"/>
      <x:c r="L37" s="5"/>
    </x:row>
    <x:row r="38" ht="32" customHeight="1">
      <x:c r="A38" s="5"/>
      <x:c r="B38" s="276" t="str">
        <x:v>Improve</x:v>
      </x:c>
      <x:c r="C38" s="276"/>
      <x:c r="D38" s="276"/>
      <x:c r="E38" s="76" t="str">
        <x:v>Change the playbook, automation, ownership or service commitment.</x:v>
      </x:c>
      <x:c r="F38" s="76"/>
      <x:c r="G38" s="76"/>
      <x:c r="H38" s="76"/>
      <x:c r="I38" s="76"/>
      <x:c r="J38" s="76"/>
      <x:c r="K38" s="76"/>
      <x:c r="L38" s="5"/>
    </x:row>
    <x:row r="39" ht="32" customHeight="1">
      <x:c r="A39" s="5"/>
      <x:c r="B39" s="278" t="str">
        <x:v>Monitor</x:v>
      </x:c>
      <x:c r="C39" s="278"/>
      <x:c r="D39" s="278"/>
      <x:c r="E39" s="66" t="str">
        <x:v>Track the KPI and process again; repeat the cycle.</x:v>
      </x:c>
      <x:c r="F39" s="66"/>
      <x:c r="G39" s="66"/>
      <x:c r="H39" s="66"/>
      <x:c r="I39" s="66"/>
      <x:c r="J39" s="66"/>
      <x:c r="K39" s="66"/>
      <x:c r="L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</x:row>
    <x:row r="42">
      <x:c r="A42" s="5"/>
      <x:c r="B42" s="459" t="str">
        <x:v>Cost ownership by value stream</x:v>
      </x:c>
      <x:c r="C42" s="459"/>
      <x:c r="D42" s="459"/>
      <x:c r="E42" s="459"/>
      <x:c r="F42" s="459"/>
      <x:c r="G42" s="459"/>
      <x:c r="H42" s="459"/>
      <x:c r="I42" s="459"/>
      <x:c r="J42" s="459"/>
      <x:c r="K42" s="459"/>
      <x:c r="L42" s="5"/>
    </x:row>
    <x:row r="43">
      <x:c r="A43" s="5"/>
      <x:c r="B43" s="463" t="str">
        <x:v>VALUE STREAM</x:v>
      </x:c>
      <x:c r="C43" s="463"/>
      <x:c r="D43" s="463" t="str">
        <x:v>PRIMARY COST CENTERS</x:v>
      </x:c>
      <x:c r="E43" s="463"/>
      <x:c r="F43" s="463" t="str">
        <x:v>MAIN DRIVERS</x:v>
      </x:c>
      <x:c r="G43" s="463"/>
      <x:c r="H43" s="463" t="str">
        <x:v>FINANCIAL VIEW</x:v>
      </x:c>
      <x:c r="I43" s="463"/>
      <x:c r="J43" s="463" t="str">
        <x:v>MANAGEMENT QUESTION</x:v>
      </x:c>
      <x:c r="K43" s="463"/>
      <x:c r="L43" s="5"/>
    </x:row>
    <x:row r="44" ht="45" customHeight="1">
      <x:c r="A44" s="5"/>
      <x:c r="B44" s="730" t="str">
        <x:v>Attract &amp; Join</x:v>
      </x:c>
      <x:c r="C44" s="730"/>
      <x:c r="D44" s="448" t="str">
        <x:v>Growth &amp; Retention • Membership Ops</x:v>
      </x:c>
      <x:c r="E44" s="448"/>
      <x:c r="F44" s="448" t="str">
        <x:v>New members • membership revenue • billing events</x:v>
      </x:c>
      <x:c r="G44" s="448"/>
      <x:c r="H44" s="448" t="str">
        <x:v>Membership acquisition and setup cost</x:v>
      </x:c>
      <x:c r="I44" s="448"/>
      <x:c r="J44" s="448" t="str">
        <x:v>Can the membership fee recover acquisition and setup?</x:v>
      </x:c>
      <x:c r="K44" s="448"/>
      <x:c r="L44" s="5"/>
    </x:row>
    <x:row r="45" ht="45" customHeight="1">
      <x:c r="A45" s="5"/>
      <x:c r="B45" s="731" t="str">
        <x:v>Verify &amp; Activate</x:v>
      </x:c>
      <x:c r="C45" s="731"/>
      <x:c r="D45" s="469" t="str">
        <x:v>Seller Ops &amp; Risk • Issuing Ops &amp; Risk • Compliance</x:v>
      </x:c>
      <x:c r="E45" s="469"/>
      <x:c r="F45" s="469" t="str">
        <x:v>KYC/KYB • review hours • cards • setup events</x:v>
      </x:c>
      <x:c r="G45" s="469"/>
      <x:c r="H45" s="469" t="str">
        <x:v>Activation cost and time to value</x:v>
      </x:c>
      <x:c r="I45" s="469"/>
      <x:c r="J45" s="469" t="str">
        <x:v>Which checks and manual steps drive cost?</x:v>
      </x:c>
      <x:c r="K45" s="469"/>
      <x:c r="L45" s="5"/>
    </x:row>
    <x:row r="46" ht="45" customHeight="1">
      <x:c r="A46" s="5"/>
      <x:c r="B46" s="730" t="str">
        <x:v>Get Paid</x:v>
      </x:c>
      <x:c r="C46" s="730"/>
      <x:c r="D46" s="448" t="str">
        <x:v>Seller Ops &amp; Risk • Finance</x:v>
      </x:c>
      <x:c r="E46" s="448"/>
      <x:c r="F46" s="448" t="str">
        <x:v>Sales • authorizations • payouts • refunds • disputes</x:v>
      </x:c>
      <x:c r="G46" s="448"/>
      <x:c r="H46" s="448" t="str">
        <x:v>PayFac cost and contribution</x:v>
      </x:c>
      <x:c r="I46" s="448"/>
      <x:c r="J46" s="448" t="str">
        <x:v>Which transaction, risk and payout costs change take rate?</x:v>
      </x:c>
      <x:c r="K46" s="448"/>
      <x:c r="L46" s="5"/>
    </x:row>
    <x:row r="47" ht="45" customHeight="1">
      <x:c r="A47" s="5"/>
      <x:c r="B47" s="731" t="str">
        <x:v>Pay &amp; Spend</x:v>
      </x:c>
      <x:c r="C47" s="731"/>
      <x:c r="D47" s="469" t="str">
        <x:v>Issuing Ops &amp; Risk • Treasury</x:v>
      </x:c>
      <x:c r="E47" s="469"/>
      <x:c r="F47" s="469" t="str">
        <x:v>Spend • accounts • funding balance • transactions</x:v>
      </x:c>
      <x:c r="G47" s="469"/>
      <x:c r="H47" s="469" t="str">
        <x:v>Issuing cost and contribution</x:v>
      </x:c>
      <x:c r="I47" s="469"/>
      <x:c r="J47" s="469" t="str">
        <x:v>Do issuer income and funding terms cover rewards and service?</x:v>
      </x:c>
      <x:c r="K47" s="469"/>
      <x:c r="L47" s="5"/>
    </x:row>
    <x:row r="48" ht="45" customHeight="1">
      <x:c r="A48" s="5"/>
      <x:c r="B48" s="730" t="str">
        <x:v>Serve &amp; Protect</x:v>
      </x:c>
      <x:c r="C48" s="730"/>
      <x:c r="D48" s="448" t="str">
        <x:v>Customer Service • Risk • Compliance</x:v>
      </x:c>
      <x:c r="E48" s="448"/>
      <x:c r="F48" s="448" t="str">
        <x:v>Support hours • disputes • complaints • monitoring</x:v>
      </x:c>
      <x:c r="G48" s="448"/>
      <x:c r="H48" s="448" t="str">
        <x:v>Cost to serve and loss</x:v>
      </x:c>
      <x:c r="I48" s="448"/>
      <x:c r="J48" s="448" t="str">
        <x:v>Where are rework, waiting and exceptions expensive?</x:v>
      </x:c>
      <x:c r="K48" s="448"/>
      <x:c r="L48" s="5"/>
    </x:row>
    <x:row r="49" ht="45" customHeight="1">
      <x:c r="A49" s="5"/>
      <x:c r="B49" s="731" t="str">
        <x:v>Reward &amp; Retain</x:v>
      </x:c>
      <x:c r="C49" s="731"/>
      <x:c r="D49" s="469" t="str">
        <x:v>Membership Ops • Growth • Finance</x:v>
      </x:c>
      <x:c r="E49" s="469"/>
      <x:c r="F49" s="469" t="str">
        <x:v>Membership revenue • rewards • renewals</x:v>
      </x:c>
      <x:c r="G49" s="469"/>
      <x:c r="H49" s="469" t="str">
        <x:v>Benefit cost and retained contribution</x:v>
      </x:c>
      <x:c r="I49" s="469"/>
      <x:c r="J49" s="469" t="str">
        <x:v>Does Premier value improve retention enough to fund the concession?</x:v>
      </x:c>
      <x:c r="K49" s="469"/>
      <x:c r="L49" s="5"/>
    </x:row>
    <x:row r="50" ht="45" customHeight="1">
      <x:c r="A50" s="5"/>
      <x:c r="B50" s="730" t="str">
        <x:v>Use</x:v>
      </x:c>
      <x:c r="C50" s="730"/>
      <x:c r="D50" s="448" t="str">
        <x:v>Technology &amp; Data</x:v>
      </x:c>
      <x:c r="E50" s="448"/>
      <x:c r="F50" s="448" t="str">
        <x:v>Member months • internal user months • program count</x:v>
      </x:c>
      <x:c r="G50" s="448"/>
      <x:c r="H50" s="448" t="str">
        <x:v>Platform and shared-service cost</x:v>
      </x:c>
      <x:c r="I50" s="448"/>
      <x:c r="J50" s="448" t="str">
        <x:v>Which shared costs scale with customers versus fixed infrastructure?</x:v>
      </x:c>
      <x:c r="K50" s="448"/>
      <x:c r="L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</x:row>
  </x:sheetData>
  <x:mergeCells>
    <x:mergeCell ref="B2:K2"/>
    <x:mergeCell ref="B3:K3"/>
    <x:mergeCell ref="B5:K5"/>
    <x:mergeCell ref="B7:K7"/>
    <x:mergeCell ref="B8:C8"/>
    <x:mergeCell ref="D8:E8"/>
    <x:mergeCell ref="F8:K8"/>
    <x:mergeCell ref="B9:C9"/>
    <x:mergeCell ref="D9:E9"/>
    <x:mergeCell ref="F9:K9"/>
    <x:mergeCell ref="B10:C10"/>
    <x:mergeCell ref="D10:E10"/>
    <x:mergeCell ref="F10:K10"/>
    <x:mergeCell ref="B11:C11"/>
    <x:mergeCell ref="D11:E11"/>
    <x:mergeCell ref="F11:K11"/>
    <x:mergeCell ref="B12:C12"/>
    <x:mergeCell ref="D12:E12"/>
    <x:mergeCell ref="F12:K12"/>
    <x:mergeCell ref="B15:K15"/>
    <x:mergeCell ref="B17:C17"/>
    <x:mergeCell ref="D17:E17"/>
    <x:mergeCell ref="F17:G17"/>
    <x:mergeCell ref="H17:I17"/>
    <x:mergeCell ref="J17:K17"/>
    <x:mergeCell ref="B18:C18"/>
    <x:mergeCell ref="D18:E18"/>
    <x:mergeCell ref="F18:G18"/>
    <x:mergeCell ref="H18:I18"/>
    <x:mergeCell ref="J18:K18"/>
    <x:mergeCell ref="B19:C19"/>
    <x:mergeCell ref="D19:E19"/>
    <x:mergeCell ref="F19:G19"/>
    <x:mergeCell ref="H19:I19"/>
    <x:mergeCell ref="J19:K19"/>
    <x:mergeCell ref="B20:C20"/>
    <x:mergeCell ref="D20:E20"/>
    <x:mergeCell ref="F20:G20"/>
    <x:mergeCell ref="H20:I20"/>
    <x:mergeCell ref="J20:K20"/>
    <x:mergeCell ref="B21:C21"/>
    <x:mergeCell ref="D21:E21"/>
    <x:mergeCell ref="F21:G21"/>
    <x:mergeCell ref="H21:I21"/>
    <x:mergeCell ref="J21:K21"/>
    <x:mergeCell ref="B22:C22"/>
    <x:mergeCell ref="D22:E22"/>
    <x:mergeCell ref="F22:G22"/>
    <x:mergeCell ref="H22:I22"/>
    <x:mergeCell ref="J22:K22"/>
    <x:mergeCell ref="B26:K26"/>
    <x:mergeCell ref="B28:C28"/>
    <x:mergeCell ref="D28:E28"/>
    <x:mergeCell ref="F28:G28"/>
    <x:mergeCell ref="H28:I28"/>
    <x:mergeCell ref="J28:K28"/>
    <x:mergeCell ref="B29:C29"/>
    <x:mergeCell ref="D29:E29"/>
    <x:mergeCell ref="F29:G29"/>
    <x:mergeCell ref="H29:I29"/>
    <x:mergeCell ref="J29:K29"/>
    <x:mergeCell ref="B30:C30"/>
    <x:mergeCell ref="D30:E30"/>
    <x:mergeCell ref="F30:G30"/>
    <x:mergeCell ref="H30:I30"/>
    <x:mergeCell ref="J30:K30"/>
    <x:mergeCell ref="B34:K34"/>
    <x:mergeCell ref="B35:D35"/>
    <x:mergeCell ref="E35:K35"/>
    <x:mergeCell ref="B36:D36"/>
    <x:mergeCell ref="E36:K36"/>
    <x:mergeCell ref="B37:D37"/>
    <x:mergeCell ref="E37:K37"/>
    <x:mergeCell ref="B38:D38"/>
    <x:mergeCell ref="E38:K38"/>
    <x:mergeCell ref="B39:D39"/>
    <x:mergeCell ref="E39:K39"/>
    <x:mergeCell ref="B42:K42"/>
    <x:mergeCell ref="B44:C44"/>
    <x:mergeCell ref="D44:E44"/>
    <x:mergeCell ref="F44:G44"/>
    <x:mergeCell ref="H44:I44"/>
    <x:mergeCell ref="J44:K44"/>
    <x:mergeCell ref="B45:C45"/>
    <x:mergeCell ref="D45:E45"/>
    <x:mergeCell ref="F45:G45"/>
    <x:mergeCell ref="H45:I45"/>
    <x:mergeCell ref="J45:K45"/>
    <x:mergeCell ref="B46:C46"/>
    <x:mergeCell ref="D46:E46"/>
    <x:mergeCell ref="F46:G46"/>
    <x:mergeCell ref="H46:I46"/>
    <x:mergeCell ref="J46:K46"/>
    <x:mergeCell ref="B47:C47"/>
    <x:mergeCell ref="D47:E47"/>
    <x:mergeCell ref="F47:G47"/>
    <x:mergeCell ref="H47:I47"/>
    <x:mergeCell ref="J47:K47"/>
    <x:mergeCell ref="B48:C48"/>
    <x:mergeCell ref="D48:E48"/>
    <x:mergeCell ref="F48:G48"/>
    <x:mergeCell ref="H48:I48"/>
    <x:mergeCell ref="J48:K48"/>
    <x:mergeCell ref="B49:C49"/>
    <x:mergeCell ref="D49:E49"/>
    <x:mergeCell ref="F49:G49"/>
    <x:mergeCell ref="H49:I49"/>
    <x:mergeCell ref="J49:K49"/>
    <x:mergeCell ref="B50:C50"/>
    <x:mergeCell ref="D50:E50"/>
    <x:mergeCell ref="F50:G50"/>
    <x:mergeCell ref="H50:I50"/>
    <x:mergeCell ref="J50:K5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5" hidden="0" customWidth="1"/>
    <x:col min="3" max="3" width="21" hidden="0" customWidth="1"/>
    <x:col min="4" max="4" width="3" hidden="0" customWidth="1"/>
    <x:col min="5" max="5" width="21" hidden="0" customWidth="1"/>
    <x:col min="6" max="6" width="3" hidden="0" customWidth="1"/>
    <x:col min="7" max="7" width="21" hidden="0" customWidth="1"/>
    <x:col min="8" max="8" width="3" hidden="0" customWidth="1"/>
    <x:col min="9" max="9" width="21" hidden="0" customWidth="1"/>
    <x:col min="10" max="10" width="3" hidden="0" customWidth="1"/>
    <x:col min="11" max="11" width="21" hidden="0" customWidth="1"/>
    <x:col min="12" max="12" width="2.20000004768371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5"/>
      <x:c r="B2" s="12" t="str">
        <x:v>Customer Lifecycle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5"/>
    </x:row>
    <x:row r="3" ht="24" customHeight="1">
      <x:c r="A3" s="5"/>
      <x:c r="B3" s="18" t="str">
        <x:v>One unified member relationship across acquisition, onboarding, use, support and renewal.</x:v>
      </x:c>
      <x:c r="C3" s="18"/>
      <x:c r="D3" s="18"/>
      <x:c r="E3" s="18"/>
      <x:c r="F3" s="18"/>
      <x:c r="G3" s="18"/>
      <x:c r="H3" s="18"/>
      <x:c r="I3" s="18"/>
      <x:c r="J3" s="18"/>
      <x:c r="K3" s="18"/>
      <x:c r="L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31" customHeight="1">
      <x:c r="A5" s="5"/>
      <x:c r="B5" s="111" t="str">
        <x:v>The member is the persistent relationship. Membership, workspaces, services, accounts, cases and transactions are connected records—not separate customer identities.</x:v>
      </x:c>
      <x:c r="C5" s="111"/>
      <x:c r="D5" s="111"/>
      <x:c r="E5" s="111"/>
      <x:c r="F5" s="111"/>
      <x:c r="G5" s="111"/>
      <x:c r="H5" s="111"/>
      <x:c r="I5" s="111"/>
      <x:c r="J5" s="111"/>
      <x:c r="K5" s="111"/>
      <x:c r="L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</x:row>
    <x:row r="7" ht="24" customHeight="1">
      <x:c r="A7" s="5"/>
      <x:c r="B7" s="28" t="str">
        <x:v>Lifecycle stages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5"/>
    </x:row>
    <x:row r="8" ht="25" customHeight="1">
      <x:c r="A8" s="5"/>
      <x:c r="B8" s="35" t="str">
        <x:v>STAGE</x:v>
      </x:c>
      <x:c r="C8" s="35"/>
      <x:c r="D8" s="35" t="str">
        <x:v>CUSTOMER GOAL</x:v>
      </x:c>
      <x:c r="E8" s="35"/>
      <x:c r="F8" s="35" t="str">
        <x:v>KEY TOUCHPOINTS</x:v>
      </x:c>
      <x:c r="G8" s="35"/>
      <x:c r="H8" s="35" t="str">
        <x:v>TRIGGER / DATA</x:v>
      </x:c>
      <x:c r="I8" s="35"/>
      <x:c r="J8" s="35" t="str">
        <x:v>SUCCESS MEASURE</x:v>
      </x:c>
      <x:c r="K8" s="35"/>
      <x:c r="L8" s="5"/>
    </x:row>
    <x:row r="9" ht="53" customHeight="1">
      <x:c r="A9" s="5"/>
      <x:c r="B9" s="114" t="str">
        <x:v>Discover</x:v>
      </x:c>
      <x:c r="C9" s="114"/>
      <x:c r="D9" s="53" t="str">
        <x:v>Understand the membership and whether it fits.</x:v>
      </x:c>
      <x:c r="E9" s="53"/>
      <x:c r="F9" s="53" t="str">
        <x:v>Website, comparison, referral, partner channel</x:v>
      </x:c>
      <x:c r="G9" s="53"/>
      <x:c r="H9" s="53" t="str">
        <x:v>Source, interest, expected use</x:v>
      </x:c>
      <x:c r="I9" s="53"/>
      <x:c r="J9" s="53" t="str">
        <x:v>Qualified conversion</x:v>
      </x:c>
      <x:c r="K9" s="53"/>
      <x:c r="L9" s="5"/>
    </x:row>
    <x:row r="10" ht="53" customHeight="1">
      <x:c r="A10" s="5"/>
      <x:c r="B10" s="116" t="str">
        <x:v>Join</x:v>
      </x:c>
      <x:c r="C10" s="116"/>
      <x:c r="D10" s="40" t="str">
        <x:v>Choose Select or Premier.</x:v>
      </x:c>
      <x:c r="E10" s="40"/>
      <x:c r="F10" s="40" t="str">
        <x:v>Application, terms, payment</x:v>
      </x:c>
      <x:c r="G10" s="40"/>
      <x:c r="H10" s="40" t="str">
        <x:v>Member profile, plan, consent</x:v>
      </x:c>
      <x:c r="I10" s="40"/>
      <x:c r="J10" s="40" t="str">
        <x:v>Completion and drop-off</x:v>
      </x:c>
      <x:c r="K10" s="40"/>
      <x:c r="L10" s="5"/>
    </x:row>
    <x:row r="11" ht="53" customHeight="1">
      <x:c r="A11" s="5"/>
      <x:c r="B11" s="114" t="str">
        <x:v>Verify</x:v>
      </x:c>
      <x:c r="C11" s="114"/>
      <x:c r="D11" s="53" t="str">
        <x:v>Prove identity and required ownership.</x:v>
      </x:c>
      <x:c r="E11" s="53"/>
      <x:c r="F11" s="53" t="str">
        <x:v>Identity, Seller or spending application</x:v>
      </x:c>
      <x:c r="G11" s="53"/>
      <x:c r="H11" s="53" t="str">
        <x:v>KYC/KYB, risk, documents</x:v>
      </x:c>
      <x:c r="I11" s="53"/>
      <x:c r="J11" s="53" t="str">
        <x:v>Approval and time</x:v>
      </x:c>
      <x:c r="K11" s="53"/>
      <x:c r="L11" s="5"/>
    </x:row>
    <x:row r="12" ht="53" customHeight="1">
      <x:c r="A12" s="5"/>
      <x:c r="B12" s="116" t="str">
        <x:v>Activate</x:v>
      </x:c>
      <x:c r="C12" s="116"/>
      <x:c r="D12" s="40" t="str">
        <x:v>Turn on the right workspace and service.</x:v>
      </x:c>
      <x:c r="E12" s="40"/>
      <x:c r="F12" s="40" t="str">
        <x:v>Onboarding playbook, setup, funding</x:v>
      </x:c>
      <x:c r="G12" s="40"/>
      <x:c r="H12" s="40" t="str">
        <x:v>Entitlement, status, configuration</x:v>
      </x:c>
      <x:c r="I12" s="40"/>
      <x:c r="J12" s="40" t="str">
        <x:v>Time to first value</x:v>
      </x:c>
      <x:c r="K12" s="40"/>
      <x:c r="L12" s="5"/>
    </x:row>
    <x:row r="13" ht="53" customHeight="1">
      <x:c r="A13" s="5"/>
      <x:c r="B13" s="114" t="str">
        <x:v>Use</x:v>
      </x:c>
      <x:c r="C13" s="114"/>
      <x:c r="D13" s="53" t="str">
        <x:v>Get paid, pay, spend and share.</x:v>
      </x:c>
      <x:c r="E13" s="53"/>
      <x:c r="F13" s="53" t="str">
        <x:v>Payments, payouts, purchases, permissions</x:v>
      </x:c>
      <x:c r="G13" s="53"/>
      <x:c r="H13" s="53" t="str">
        <x:v>Events, balances, records, limits</x:v>
      </x:c>
      <x:c r="I13" s="53"/>
      <x:c r="J13" s="53" t="str">
        <x:v>Active use and success</x:v>
      </x:c>
      <x:c r="K13" s="53"/>
      <x:c r="L13" s="5"/>
    </x:row>
    <x:row r="14" ht="53" customHeight="1">
      <x:c r="A14" s="5"/>
      <x:c r="B14" s="116" t="str">
        <x:v>Grow</x:v>
      </x:c>
      <x:c r="C14" s="116"/>
      <x:c r="D14" s="40" t="str">
        <x:v>Add people, services or higher-value activity.</x:v>
      </x:c>
      <x:c r="E14" s="40"/>
      <x:c r="F14" s="40" t="str">
        <x:v>Household invites, Seller tools, Premier value</x:v>
      </x:c>
      <x:c r="G14" s="40"/>
      <x:c r="H14" s="40" t="str">
        <x:v>Adoption, usage, eligibility</x:v>
      </x:c>
      <x:c r="I14" s="40"/>
      <x:c r="J14" s="40" t="str">
        <x:v>Cross-service adoption</x:v>
      </x:c>
      <x:c r="K14" s="40"/>
      <x:c r="L14" s="5"/>
    </x:row>
    <x:row r="15" ht="53" customHeight="1">
      <x:c r="A15" s="5"/>
      <x:c r="B15" s="114" t="str">
        <x:v>Support</x:v>
      </x:c>
      <x:c r="C15" s="114"/>
      <x:c r="D15" s="53" t="str">
        <x:v>Resolve an issue without losing context.</x:v>
      </x:c>
      <x:c r="E15" s="53"/>
      <x:c r="F15" s="53" t="str">
        <x:v>Case, chat, email, phone, self-service</x:v>
      </x:c>
      <x:c r="G15" s="53"/>
      <x:c r="H15" s="53" t="str">
        <x:v>History, entitlement, related records</x:v>
      </x:c>
      <x:c r="I15" s="53"/>
      <x:c r="J15" s="53" t="str">
        <x:v>Resolution and satisfaction</x:v>
      </x:c>
      <x:c r="K15" s="53"/>
      <x:c r="L15" s="5"/>
    </x:row>
    <x:row r="16" ht="53" customHeight="1">
      <x:c r="A16" s="5"/>
      <x:c r="B16" s="116" t="str">
        <x:v>Renew / Exit</x:v>
      </x:c>
      <x:c r="C16" s="116"/>
      <x:c r="D16" s="40" t="str">
        <x:v>Review value and continue or leave cleanly.</x:v>
      </x:c>
      <x:c r="E16" s="40"/>
      <x:c r="F16" s="40" t="str">
        <x:v>Value statement, renewal, downgrade, cancel</x:v>
      </x:c>
      <x:c r="G16" s="40"/>
      <x:c r="H16" s="40" t="str">
        <x:v>Rewards, contribution, cases, tenure</x:v>
      </x:c>
      <x:c r="I16" s="40"/>
      <x:c r="J16" s="40" t="str">
        <x:v>Renewal and retained value</x:v>
      </x:c>
      <x:c r="K16" s="40"/>
      <x:c r="L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</x:row>
    <x:row r="20" ht="24" customHeight="1">
      <x:c r="A20" s="5"/>
      <x:c r="B20" s="28" t="str">
        <x:v>Unified member context</x:v>
      </x:c>
      <x:c r="C20" s="28"/>
      <x:c r="D20" s="28"/>
      <x:c r="E20" s="28"/>
      <x:c r="F20" s="28"/>
      <x:c r="G20" s="28"/>
      <x:c r="H20" s="28"/>
      <x:c r="I20" s="28"/>
      <x:c r="J20" s="28"/>
      <x:c r="K20" s="28"/>
      <x:c r="L20" s="5"/>
    </x:row>
    <x:row r="21" ht="31" customHeight="1">
      <x:c r="A21" s="5"/>
      <x:c r="B21" s="276" t="str">
        <x:v>Member</x:v>
      </x:c>
      <x:c r="C21" s="276"/>
      <x:c r="D21" s="276"/>
      <x:c r="E21" s="76" t="str">
        <x:v>Persistent verified person and primary relationship.</x:v>
      </x:c>
      <x:c r="F21" s="76"/>
      <x:c r="G21" s="76"/>
      <x:c r="H21" s="76"/>
      <x:c r="I21" s="76"/>
      <x:c r="J21" s="76"/>
      <x:c r="K21" s="76"/>
      <x:c r="L21" s="5"/>
    </x:row>
    <x:row r="22" ht="31" customHeight="1">
      <x:c r="A22" s="5"/>
      <x:c r="B22" s="278" t="str">
        <x:v>Membership</x:v>
      </x:c>
      <x:c r="C22" s="278"/>
      <x:c r="D22" s="278"/>
      <x:c r="E22" s="66" t="str">
        <x:v>Select or Premier entitlement, billing, renewal and benefits.</x:v>
      </x:c>
      <x:c r="F22" s="66"/>
      <x:c r="G22" s="66"/>
      <x:c r="H22" s="66"/>
      <x:c r="I22" s="66"/>
      <x:c r="J22" s="66"/>
      <x:c r="K22" s="66"/>
      <x:c r="L22" s="5"/>
    </x:row>
    <x:row r="23" ht="31" customHeight="1">
      <x:c r="A23" s="5"/>
      <x:c r="B23" s="276" t="str">
        <x:v>Household</x:v>
      </x:c>
      <x:c r="C23" s="276"/>
      <x:c r="D23" s="276"/>
      <x:c r="E23" s="76" t="str">
        <x:v>Relationship container for named participants and permissions.</x:v>
      </x:c>
      <x:c r="F23" s="76"/>
      <x:c r="G23" s="76"/>
      <x:c r="H23" s="76"/>
      <x:c r="I23" s="76"/>
      <x:c r="J23" s="76"/>
      <x:c r="K23" s="76"/>
      <x:c r="L23" s="5"/>
    </x:row>
    <x:row r="24" ht="31" customHeight="1">
      <x:c r="A24" s="5"/>
      <x:c r="B24" s="278" t="str">
        <x:v>Seller profile</x:v>
      </x:c>
      <x:c r="C24" s="278"/>
      <x:c r="D24" s="278"/>
      <x:c r="E24" s="66" t="str">
        <x:v>Approved individual, sole proprietor or business accepting payments.</x:v>
      </x:c>
      <x:c r="F24" s="66"/>
      <x:c r="G24" s="66"/>
      <x:c r="H24" s="66"/>
      <x:c r="I24" s="66"/>
      <x:c r="J24" s="66"/>
      <x:c r="K24" s="66"/>
      <x:c r="L24" s="5"/>
    </x:row>
    <x:row r="25" ht="31" customHeight="1">
      <x:c r="A25" s="5"/>
      <x:c r="B25" s="276" t="str">
        <x:v>Spending account</x:v>
      </x:c>
      <x:c r="C25" s="276"/>
      <x:c r="D25" s="276"/>
      <x:c r="E25" s="76" t="str">
        <x:v>Approved consumer or commercial account with owner, limit and repayment.</x:v>
      </x:c>
      <x:c r="F25" s="76"/>
      <x:c r="G25" s="76"/>
      <x:c r="H25" s="76"/>
      <x:c r="I25" s="76"/>
      <x:c r="J25" s="76"/>
      <x:c r="K25" s="76"/>
      <x:c r="L25" s="5"/>
    </x:row>
    <x:row r="26" ht="31" customHeight="1">
      <x:c r="A26" s="5"/>
      <x:c r="B26" s="278" t="str">
        <x:v>Service subscriptions</x:v>
      </x:c>
      <x:c r="C26" s="278"/>
      <x:c r="D26" s="278"/>
      <x:c r="E26" s="66" t="str">
        <x:v>Activated offerings such as Quick Sell, Seller acceptance or household access.</x:v>
      </x:c>
      <x:c r="F26" s="66"/>
      <x:c r="G26" s="66"/>
      <x:c r="H26" s="66"/>
      <x:c r="I26" s="66"/>
      <x:c r="J26" s="66"/>
      <x:c r="K26" s="66"/>
      <x:c r="L26" s="5"/>
    </x:row>
    <x:row r="27" ht="31" customHeight="1">
      <x:c r="A27" s="5"/>
      <x:c r="B27" s="276" t="str">
        <x:v>Cases and tasks</x:v>
      </x:c>
      <x:c r="C27" s="276"/>
      <x:c r="D27" s="276"/>
      <x:c r="E27" s="76" t="str">
        <x:v>Applications, questions, claims, disputes and service requests.</x:v>
      </x:c>
      <x:c r="F27" s="76"/>
      <x:c r="G27" s="76"/>
      <x:c r="H27" s="76"/>
      <x:c r="I27" s="76"/>
      <x:c r="J27" s="76"/>
      <x:c r="K27" s="76"/>
      <x:c r="L27" s="5"/>
    </x:row>
    <x:row r="28" ht="31" customHeight="1">
      <x:c r="A28" s="5"/>
      <x:c r="B28" s="278" t="str">
        <x:v>Transactions and rewards</x:v>
      </x:c>
      <x:c r="C28" s="278"/>
      <x:c r="D28" s="278"/>
      <x:c r="E28" s="66" t="str">
        <x:v>Payments, payouts, purchases, fees, rewards and value history.</x:v>
      </x:c>
      <x:c r="F28" s="66"/>
      <x:c r="G28" s="66"/>
      <x:c r="H28" s="66"/>
      <x:c r="I28" s="66"/>
      <x:c r="J28" s="66"/>
      <x:c r="K28" s="66"/>
      <x:c r="L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</x:row>
    <x:row r="32" ht="24" customHeight="1">
      <x:c r="A32" s="5"/>
      <x:c r="B32" s="28" t="str">
        <x:v>Lifecycle events that should trigger action</x:v>
      </x:c>
      <x:c r="C32" s="28"/>
      <x:c r="D32" s="28"/>
      <x:c r="E32" s="28"/>
      <x:c r="F32" s="28"/>
      <x:c r="G32" s="28"/>
      <x:c r="H32" s="28"/>
      <x:c r="I32" s="28"/>
      <x:c r="J32" s="28"/>
      <x:c r="K32" s="28"/>
      <x:c r="L32" s="5"/>
    </x:row>
    <x:row r="33" ht="33" customHeight="1">
      <x:c r="A33" s="5"/>
      <x:c r="B33" s="294" t="str">
        <x:v>Application abandoned</x:v>
      </x:c>
      <x:c r="C33" s="294"/>
      <x:c r="D33" s="294"/>
      <x:c r="E33" s="294"/>
      <x:c r="F33" s="66" t="str">
        <x:v>Offer guidance or save-and-resume.</x:v>
      </x:c>
      <x:c r="G33" s="66"/>
      <x:c r="H33" s="66"/>
      <x:c r="I33" s="66"/>
      <x:c r="J33" s="66"/>
      <x:c r="K33" s="66"/>
      <x:c r="L33" s="5"/>
    </x:row>
    <x:row r="34" ht="33" customHeight="1">
      <x:c r="A34" s="5"/>
      <x:c r="B34" s="296" t="str">
        <x:v>Information requested</x:v>
      </x:c>
      <x:c r="C34" s="296"/>
      <x:c r="D34" s="296"/>
      <x:c r="E34" s="296"/>
      <x:c r="F34" s="76" t="str">
        <x:v>Show the exact missing item and responsible party.</x:v>
      </x:c>
      <x:c r="G34" s="76"/>
      <x:c r="H34" s="76"/>
      <x:c r="I34" s="76"/>
      <x:c r="J34" s="76"/>
      <x:c r="K34" s="76"/>
      <x:c r="L34" s="5"/>
    </x:row>
    <x:row r="35" ht="33" customHeight="1">
      <x:c r="A35" s="5"/>
      <x:c r="B35" s="294" t="str">
        <x:v>Service approved</x:v>
      </x:c>
      <x:c r="C35" s="294"/>
      <x:c r="D35" s="294"/>
      <x:c r="E35" s="294"/>
      <x:c r="F35" s="66" t="str">
        <x:v>Launch the activation playbook and next-best action.</x:v>
      </x:c>
      <x:c r="G35" s="66"/>
      <x:c r="H35" s="66"/>
      <x:c r="I35" s="66"/>
      <x:c r="J35" s="66"/>
      <x:c r="K35" s="66"/>
      <x:c r="L35" s="5"/>
    </x:row>
    <x:row r="36" ht="33" customHeight="1">
      <x:c r="A36" s="5"/>
      <x:c r="B36" s="296" t="str">
        <x:v>First successful payment or purchase</x:v>
      </x:c>
      <x:c r="C36" s="296"/>
      <x:c r="D36" s="296"/>
      <x:c r="E36" s="296"/>
      <x:c r="F36" s="76" t="str">
        <x:v>Confirm value and explain records/rewards.</x:v>
      </x:c>
      <x:c r="G36" s="76"/>
      <x:c r="H36" s="76"/>
      <x:c r="I36" s="76"/>
      <x:c r="J36" s="76"/>
      <x:c r="K36" s="76"/>
      <x:c r="L36" s="5"/>
    </x:row>
    <x:row r="37" ht="33" customHeight="1">
      <x:c r="A37" s="5"/>
      <x:c r="B37" s="294" t="str">
        <x:v>Repeated decline, payout delay or case</x:v>
      </x:c>
      <x:c r="C37" s="294"/>
      <x:c r="D37" s="294"/>
      <x:c r="E37" s="294"/>
      <x:c r="F37" s="66" t="str">
        <x:v>Escalate with full transaction and account context.</x:v>
      </x:c>
      <x:c r="G37" s="66"/>
      <x:c r="H37" s="66"/>
      <x:c r="I37" s="66"/>
      <x:c r="J37" s="66"/>
      <x:c r="K37" s="66"/>
      <x:c r="L37" s="5"/>
    </x:row>
    <x:row r="38" ht="33" customHeight="1">
      <x:c r="A38" s="5"/>
      <x:c r="B38" s="296" t="str">
        <x:v>Bonus nearing cap</x:v>
      </x:c>
      <x:c r="C38" s="296"/>
      <x:c r="D38" s="296"/>
      <x:c r="E38" s="296"/>
      <x:c r="F38" s="76" t="str">
        <x:v>Explain remaining value without hiding the limit.</x:v>
      </x:c>
      <x:c r="G38" s="76"/>
      <x:c r="H38" s="76"/>
      <x:c r="I38" s="76"/>
      <x:c r="J38" s="76"/>
      <x:c r="K38" s="76"/>
      <x:c r="L38" s="5"/>
    </x:row>
    <x:row r="39" ht="33" customHeight="1">
      <x:c r="A39" s="5"/>
      <x:c r="B39" s="294" t="str">
        <x:v>Low engagement before renewal</x:v>
      </x:c>
      <x:c r="C39" s="294"/>
      <x:c r="D39" s="294"/>
      <x:c r="E39" s="294"/>
      <x:c r="F39" s="66" t="str">
        <x:v>Show value received and relevant unused services.</x:v>
      </x:c>
      <x:c r="G39" s="66"/>
      <x:c r="H39" s="66"/>
      <x:c r="I39" s="66"/>
      <x:c r="J39" s="66"/>
      <x:c r="K39" s="66"/>
      <x:c r="L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</x:row>
  </x:sheetData>
  <x:mergeCells>
    <x:mergeCell ref="B2:K2"/>
    <x:mergeCell ref="B3:K3"/>
    <x:mergeCell ref="B5:K5"/>
    <x:mergeCell ref="B7:K7"/>
    <x:mergeCell ref="B9:C9"/>
    <x:mergeCell ref="D9:E9"/>
    <x:mergeCell ref="F9:G9"/>
    <x:mergeCell ref="H9:I9"/>
    <x:mergeCell ref="J9:K9"/>
    <x:mergeCell ref="B10:C10"/>
    <x:mergeCell ref="D10:E10"/>
    <x:mergeCell ref="F10:G10"/>
    <x:mergeCell ref="H10:I10"/>
    <x:mergeCell ref="J10:K10"/>
    <x:mergeCell ref="B11:C11"/>
    <x:mergeCell ref="D11:E11"/>
    <x:mergeCell ref="F11:G11"/>
    <x:mergeCell ref="H11:I11"/>
    <x:mergeCell ref="J11:K11"/>
    <x:mergeCell ref="B12:C12"/>
    <x:mergeCell ref="D12:E12"/>
    <x:mergeCell ref="F12:G12"/>
    <x:mergeCell ref="H12:I12"/>
    <x:mergeCell ref="J12:K12"/>
    <x:mergeCell ref="B13:C13"/>
    <x:mergeCell ref="D13:E13"/>
    <x:mergeCell ref="F13:G13"/>
    <x:mergeCell ref="H13:I13"/>
    <x:mergeCell ref="J13:K13"/>
    <x:mergeCell ref="B14:C14"/>
    <x:mergeCell ref="D14:E14"/>
    <x:mergeCell ref="F14:G14"/>
    <x:mergeCell ref="H14:I14"/>
    <x:mergeCell ref="J14:K14"/>
    <x:mergeCell ref="B15:C15"/>
    <x:mergeCell ref="D15:E15"/>
    <x:mergeCell ref="F15:G15"/>
    <x:mergeCell ref="H15:I15"/>
    <x:mergeCell ref="J15:K15"/>
    <x:mergeCell ref="B16:C16"/>
    <x:mergeCell ref="D16:E16"/>
    <x:mergeCell ref="F16:G16"/>
    <x:mergeCell ref="H16:I16"/>
    <x:mergeCell ref="J16:K16"/>
    <x:mergeCell ref="B20:K20"/>
    <x:mergeCell ref="B21:D21"/>
    <x:mergeCell ref="E21:K21"/>
    <x:mergeCell ref="B22:D22"/>
    <x:mergeCell ref="E22:K22"/>
    <x:mergeCell ref="B23:D23"/>
    <x:mergeCell ref="E23:K23"/>
    <x:mergeCell ref="B24:D24"/>
    <x:mergeCell ref="E24:K24"/>
    <x:mergeCell ref="B25:D25"/>
    <x:mergeCell ref="E25:K25"/>
    <x:mergeCell ref="B26:D26"/>
    <x:mergeCell ref="E26:K26"/>
    <x:mergeCell ref="B27:D27"/>
    <x:mergeCell ref="E27:K27"/>
    <x:mergeCell ref="B28:D28"/>
    <x:mergeCell ref="E28:K28"/>
    <x:mergeCell ref="B32:K32"/>
    <x:mergeCell ref="B33:E33"/>
    <x:mergeCell ref="F33:K33"/>
    <x:mergeCell ref="B34:E34"/>
    <x:mergeCell ref="F34:K34"/>
    <x:mergeCell ref="B35:E35"/>
    <x:mergeCell ref="F35:K35"/>
    <x:mergeCell ref="B36:E36"/>
    <x:mergeCell ref="F36:K36"/>
    <x:mergeCell ref="B37:E37"/>
    <x:mergeCell ref="F37:K37"/>
    <x:mergeCell ref="B38:E38"/>
    <x:mergeCell ref="F38:K38"/>
    <x:mergeCell ref="B39:E39"/>
    <x:mergeCell ref="F39:K3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5" hidden="0" customWidth="1"/>
    <x:col min="3" max="3" width="21" hidden="0" customWidth="1"/>
    <x:col min="4" max="4" width="3" hidden="0" customWidth="1"/>
    <x:col min="5" max="5" width="21" hidden="0" customWidth="1"/>
    <x:col min="6" max="6" width="3" hidden="0" customWidth="1"/>
    <x:col min="7" max="7" width="21" hidden="0" customWidth="1"/>
    <x:col min="8" max="8" width="3" hidden="0" customWidth="1"/>
    <x:col min="9" max="9" width="21" hidden="0" customWidth="1"/>
    <x:col min="10" max="10" width="3" hidden="0" customWidth="1"/>
    <x:col min="11" max="11" width="21" hidden="0" customWidth="1"/>
    <x:col min="12" max="12" width="2.20000004768371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5"/>
      <x:c r="B2" s="12" t="str">
        <x:v>Service Portfolio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5"/>
    </x:row>
    <x:row r="3" ht="24" customHeight="1">
      <x:c r="A3" s="5"/>
      <x:c r="B3" s="18" t="str">
        <x:v>A single catalog linking capabilities, services, offerings, commitments and owners.</x:v>
      </x:c>
      <x:c r="C3" s="18"/>
      <x:c r="D3" s="18"/>
      <x:c r="E3" s="18"/>
      <x:c r="F3" s="18"/>
      <x:c r="G3" s="18"/>
      <x:c r="H3" s="18"/>
      <x:c r="I3" s="18"/>
      <x:c r="J3" s="18"/>
      <x:c r="K3" s="18"/>
      <x:c r="L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31" customHeight="1">
      <x:c r="A5" s="5"/>
      <x:c r="B5" s="111" t="str">
        <x:v>This sheet prevents the workbook from mixing membership plans, workspaces, product features, workflows and vendor components.</x:v>
      </x:c>
      <x:c r="C5" s="111"/>
      <x:c r="D5" s="111"/>
      <x:c r="E5" s="111"/>
      <x:c r="F5" s="111"/>
      <x:c r="G5" s="111"/>
      <x:c r="H5" s="111"/>
      <x:c r="I5" s="111"/>
      <x:c r="J5" s="111"/>
      <x:c r="K5" s="111"/>
      <x:c r="L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</x:row>
    <x:row r="7" ht="24" customHeight="1">
      <x:c r="A7" s="5"/>
      <x:c r="B7" s="28" t="str">
        <x:v>Service-model hierarchy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5"/>
    </x:row>
    <x:row r="8" ht="40" customHeight="1">
      <x:c r="A8" s="5"/>
      <x:c r="B8" s="290" t="str">
        <x:v>Business capability</x:v>
      </x:c>
      <x:c r="C8" s="290"/>
      <x:c r="D8" s="5" t="str">
        <x:v>What the company must be able to do.</x:v>
      </x:c>
      <x:c r="E8" s="5"/>
      <x:c r="F8" s="5"/>
      <x:c r="G8" s="5"/>
      <x:c r="H8" s="5" t="str">
        <x:v>Membership management, payment acceptance, spend management</x:v>
      </x:c>
      <x:c r="I8" s="5"/>
      <x:c r="J8" s="5"/>
      <x:c r="K8" s="5"/>
      <x:c r="L8" s="5"/>
    </x:row>
    <x:row r="9" ht="40" customHeight="1">
      <x:c r="A9" s="5"/>
      <x:c r="B9" s="292" t="str">
        <x:v>Business service</x:v>
      </x:c>
      <x:c r="C9" s="292"/>
      <x:c r="D9" s="52" t="str">
        <x:v>A customer-facing means of delivering value.</x:v>
      </x:c>
      <x:c r="E9" s="52"/>
      <x:c r="F9" s="52"/>
      <x:c r="G9" s="52"/>
      <x:c r="H9" s="52" t="str">
        <x:v>Get Paid, Pay &amp; Spend, Share &amp; Control, Help &amp; Resolve</x:v>
      </x:c>
      <x:c r="I9" s="52"/>
      <x:c r="J9" s="52"/>
      <x:c r="K9" s="52"/>
      <x:c r="L9" s="5"/>
    </x:row>
    <x:row r="10" ht="40" customHeight="1">
      <x:c r="A10" s="5"/>
      <x:c r="B10" s="290" t="str">
        <x:v>Service offering</x:v>
      </x:c>
      <x:c r="C10" s="290"/>
      <x:c r="D10" s="5" t="str">
        <x:v>A priced or packaged version with commitments.</x:v>
      </x:c>
      <x:c r="E10" s="5"/>
      <x:c r="F10" s="5"/>
      <x:c r="G10" s="5"/>
      <x:c r="H10" s="5" t="str">
        <x:v>Select, Premier, Quick Sell, Full Seller, Personal Spend</x:v>
      </x:c>
      <x:c r="I10" s="5"/>
      <x:c r="J10" s="5"/>
      <x:c r="K10" s="5"/>
      <x:c r="L10" s="5"/>
    </x:row>
    <x:row r="11" ht="40" customHeight="1">
      <x:c r="A11" s="5"/>
      <x:c r="B11" s="292" t="str">
        <x:v>Subscription / entitlement</x:v>
      </x:c>
      <x:c r="C11" s="292"/>
      <x:c r="D11" s="52" t="str">
        <x:v>What a specific customer is allowed to use.</x:v>
      </x:c>
      <x:c r="E11" s="52"/>
      <x:c r="F11" s="52"/>
      <x:c r="G11" s="52"/>
      <x:c r="H11" s="52" t="str">
        <x:v>Member has Select and approved Seller acceptance</x:v>
      </x:c>
      <x:c r="I11" s="52"/>
      <x:c r="J11" s="52"/>
      <x:c r="K11" s="52"/>
      <x:c r="L11" s="5"/>
    </x:row>
    <x:row r="12" ht="40" customHeight="1">
      <x:c r="A12" s="5"/>
      <x:c r="B12" s="290" t="str">
        <x:v>Service instance / account</x:v>
      </x:c>
      <x:c r="C12" s="290"/>
      <x:c r="D12" s="5" t="str">
        <x:v>The live operational instance serving the customer.</x:v>
      </x:c>
      <x:c r="E12" s="5"/>
      <x:c r="F12" s="5"/>
      <x:c r="G12" s="5"/>
      <x:c r="H12" s="5" t="str">
        <x:v>Seller profile, consumer spending account, commercial spending account</x:v>
      </x:c>
      <x:c r="I12" s="5"/>
      <x:c r="J12" s="5"/>
      <x:c r="K12" s="5"/>
      <x:c r="L12" s="5"/>
    </x:row>
    <x:row r="13" ht="40" customHeight="1">
      <x:c r="A13" s="5"/>
      <x:c r="B13" s="292" t="str">
        <x:v>Case / task</x:v>
      </x:c>
      <x:c r="C13" s="292"/>
      <x:c r="D13" s="52" t="str">
        <x:v>Work required to activate, change or support the service.</x:v>
      </x:c>
      <x:c r="E13" s="52"/>
      <x:c r="F13" s="52"/>
      <x:c r="G13" s="52"/>
      <x:c r="H13" s="52" t="str">
        <x:v>Onboarding, payout inquiry, dispute, access request</x:v>
      </x:c>
      <x:c r="I13" s="52"/>
      <x:c r="J13" s="52"/>
      <x:c r="K13" s="52"/>
      <x:c r="L13" s="5"/>
    </x:row>
    <x:row r="14" ht="40" customHeight="1">
      <x:c r="A14" s="5"/>
      <x:c r="B14" s="290" t="str">
        <x:v>Technology / vendor service</x:v>
      </x:c>
      <x:c r="C14" s="290"/>
      <x:c r="D14" s="5" t="str">
        <x:v>The underlying bank, network, processor or platform capability.</x:v>
      </x:c>
      <x:c r="E14" s="5"/>
      <x:c r="F14" s="5"/>
      <x:c r="G14" s="5"/>
      <x:c r="H14" s="5" t="str">
        <x:v>Sponsor bank, card network, processor, KYC, fraud, payout rail</x:v>
      </x:c>
      <x:c r="I14" s="5"/>
      <x:c r="J14" s="5"/>
      <x:c r="K14" s="5"/>
      <x:c r="L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</x:row>
    <x:row r="18" ht="24" customHeight="1">
      <x:c r="A18" s="5"/>
      <x:c r="B18" s="28" t="str">
        <x:v>Customer-facing service catalog</x:v>
      </x:c>
      <x:c r="C18" s="28"/>
      <x:c r="D18" s="28"/>
      <x:c r="E18" s="28"/>
      <x:c r="F18" s="28"/>
      <x:c r="G18" s="28"/>
      <x:c r="H18" s="28"/>
      <x:c r="I18" s="28"/>
      <x:c r="J18" s="28"/>
      <x:c r="K18" s="28"/>
      <x:c r="L18" s="5"/>
    </x:row>
    <x:row r="19" ht="25" customHeight="1">
      <x:c r="A19" s="5"/>
      <x:c r="B19" s="35" t="str">
        <x:v>BUSINESS SERVICE</x:v>
      </x:c>
      <x:c r="C19" s="35"/>
      <x:c r="D19" s="35" t="str">
        <x:v>SERVICE OFFERING</x:v>
      </x:c>
      <x:c r="E19" s="35"/>
      <x:c r="F19" s="35" t="str">
        <x:v>WORKSPACE</x:v>
      </x:c>
      <x:c r="G19" s="35"/>
      <x:c r="H19" s="35" t="str">
        <x:v>ACTIVATION / COMMITMENT</x:v>
      </x:c>
      <x:c r="I19" s="35"/>
      <x:c r="J19" s="35" t="str">
        <x:v>ECONOMIC ENGINE</x:v>
      </x:c>
      <x:c r="K19" s="35"/>
      <x:c r="L19" s="5"/>
    </x:row>
    <x:row r="20" ht="48" customHeight="1">
      <x:c r="A20" s="5"/>
      <x:c r="B20" s="116" t="str">
        <x:v>Membership</x:v>
      </x:c>
      <x:c r="C20" s="116"/>
      <x:c r="D20" s="40" t="str">
        <x:v>Select membership</x:v>
      </x:c>
      <x:c r="E20" s="40"/>
      <x:c r="F20" s="40" t="str">
        <x:v>Cross-platform</x:v>
      </x:c>
      <x:c r="G20" s="40"/>
      <x:c r="H20" s="40" t="str">
        <x:v>$120/year; member support; complete access</x:v>
      </x:c>
      <x:c r="I20" s="40"/>
      <x:c r="J20" s="40" t="str">
        <x:v>Membership</x:v>
      </x:c>
      <x:c r="K20" s="40"/>
      <x:c r="L20" s="5"/>
    </x:row>
    <x:row r="21" ht="48" customHeight="1">
      <x:c r="A21" s="5"/>
      <x:c r="B21" s="114" t="str">
        <x:v>Membership</x:v>
      </x:c>
      <x:c r="C21" s="114"/>
      <x:c r="D21" s="53" t="str">
        <x:v>Premier membership</x:v>
      </x:c>
      <x:c r="E21" s="53"/>
      <x:c r="F21" s="53" t="str">
        <x:v>Cross-platform</x:v>
      </x:c>
      <x:c r="G21" s="53"/>
      <x:c r="H21" s="53" t="str">
        <x:v>$300/year; priority support; capped extra bonus</x:v>
      </x:c>
      <x:c r="I21" s="53"/>
      <x:c r="J21" s="53" t="str">
        <x:v>Membership + rewards</x:v>
      </x:c>
      <x:c r="K21" s="53"/>
      <x:c r="L21" s="5"/>
    </x:row>
    <x:row r="22" ht="48" customHeight="1">
      <x:c r="A22" s="5"/>
      <x:c r="B22" s="116" t="str">
        <x:v>Get Paid</x:v>
      </x:c>
      <x:c r="C22" s="116"/>
      <x:c r="D22" s="40" t="str">
        <x:v>Quick Sell</x:v>
      </x:c>
      <x:c r="E22" s="40"/>
      <x:c r="F22" s="40" t="str">
        <x:v>Personal</x:v>
      </x:c>
      <x:c r="G22" s="40"/>
      <x:c r="H22" s="40" t="str">
        <x:v>Seller verification; link/QR; basic refund</x:v>
      </x:c>
      <x:c r="I22" s="40"/>
      <x:c r="J22" s="40" t="str">
        <x:v>PayFac</x:v>
      </x:c>
      <x:c r="K22" s="40"/>
      <x:c r="L22" s="5"/>
    </x:row>
    <x:row r="23" ht="48" customHeight="1">
      <x:c r="A23" s="5"/>
      <x:c r="B23" s="114" t="str">
        <x:v>Get Paid</x:v>
      </x:c>
      <x:c r="C23" s="114"/>
      <x:c r="D23" s="53" t="str">
        <x:v>Household Seller Support</x:v>
      </x:c>
      <x:c r="E23" s="53"/>
      <x:c r="F23" s="53" t="str">
        <x:v>Household</x:v>
      </x:c>
      <x:c r="G23" s="53"/>
      <x:c r="H23" s="53" t="str">
        <x:v>Named approved Seller; delegated permission</x:v>
      </x:c>
      <x:c r="I23" s="53"/>
      <x:c r="J23" s="53" t="str">
        <x:v>PayFac + support</x:v>
      </x:c>
      <x:c r="K23" s="53"/>
      <x:c r="L23" s="5"/>
    </x:row>
    <x:row r="24" ht="48" customHeight="1">
      <x:c r="A24" s="5"/>
      <x:c r="B24" s="116" t="str">
        <x:v>Get Paid</x:v>
      </x:c>
      <x:c r="C24" s="116"/>
      <x:c r="D24" s="40" t="str">
        <x:v>Full Seller Acceptance</x:v>
      </x:c>
      <x:c r="E24" s="40"/>
      <x:c r="F24" s="40" t="str">
        <x:v>Seller</x:v>
      </x:c>
      <x:c r="G24" s="40"/>
      <x:c r="H24" s="40" t="str">
        <x:v>Underwriting; agreement; links/invoices/checkout/payouts</x:v>
      </x:c>
      <x:c r="I24" s="40"/>
      <x:c r="J24" s="40" t="str">
        <x:v>PayFac</x:v>
      </x:c>
      <x:c r="K24" s="40"/>
      <x:c r="L24" s="5"/>
    </x:row>
    <x:row r="25" ht="48" customHeight="1">
      <x:c r="A25" s="5"/>
      <x:c r="B25" s="114" t="str">
        <x:v>Pay &amp; Spend</x:v>
      </x:c>
      <x:c r="C25" s="114"/>
      <x:c r="D25" s="53" t="str">
        <x:v>Personal Spend</x:v>
      </x:c>
      <x:c r="E25" s="53"/>
      <x:c r="F25" s="53" t="str">
        <x:v>Personal</x:v>
      </x:c>
      <x:c r="G25" s="53"/>
      <x:c r="H25" s="53" t="str">
        <x:v>Consumer approval; collateral; statement repayment</x:v>
      </x:c>
      <x:c r="I25" s="53"/>
      <x:c r="J25" s="53" t="str">
        <x:v>Issuing</x:v>
      </x:c>
      <x:c r="K25" s="53"/>
      <x:c r="L25" s="5"/>
    </x:row>
    <x:row r="26" ht="48" customHeight="1">
      <x:c r="A26" s="5"/>
      <x:c r="B26" s="116" t="str">
        <x:v>Pay &amp; Spend</x:v>
      </x:c>
      <x:c r="C26" s="116"/>
      <x:c r="D26" s="40" t="str">
        <x:v>Household Spend</x:v>
      </x:c>
      <x:c r="E26" s="40"/>
      <x:c r="F26" s="40" t="str">
        <x:v>Household</x:v>
      </x:c>
      <x:c r="G26" s="40"/>
      <x:c r="H26" s="40" t="str">
        <x:v>Authorized adult or supervised funded access</x:v>
      </x:c>
      <x:c r="I26" s="40"/>
      <x:c r="J26" s="40" t="str">
        <x:v>Issuing + servicing</x:v>
      </x:c>
      <x:c r="K26" s="40"/>
      <x:c r="L26" s="5"/>
    </x:row>
    <x:row r="27" ht="48" customHeight="1">
      <x:c r="A27" s="5"/>
      <x:c r="B27" s="114" t="str">
        <x:v>Pay &amp; Spend</x:v>
      </x:c>
      <x:c r="C27" s="114"/>
      <x:c r="D27" s="53" t="str">
        <x:v>Seller Spend</x:v>
      </x:c>
      <x:c r="E27" s="53"/>
      <x:c r="F27" s="53" t="str">
        <x:v>Seller</x:v>
      </x:c>
      <x:c r="G27" s="53"/>
      <x:c r="H27" s="53" t="str">
        <x:v>Commercial approval; collateral/funds; daily repayment</x:v>
      </x:c>
      <x:c r="I27" s="53"/>
      <x:c r="J27" s="53" t="str">
        <x:v>Issuing</x:v>
      </x:c>
      <x:c r="K27" s="53"/>
      <x:c r="L27" s="5"/>
    </x:row>
    <x:row r="28" ht="48" customHeight="1">
      <x:c r="A28" s="5"/>
      <x:c r="B28" s="116" t="str">
        <x:v>Share &amp; Control</x:v>
      </x:c>
      <x:c r="C28" s="116"/>
      <x:c r="D28" s="40" t="str">
        <x:v>Household Permissions</x:v>
      </x:c>
      <x:c r="E28" s="40"/>
      <x:c r="F28" s="40" t="str">
        <x:v>Household</x:v>
      </x:c>
      <x:c r="G28" s="40"/>
      <x:c r="H28" s="40" t="str">
        <x:v>Named roles, limits, visibility and revocation</x:v>
      </x:c>
      <x:c r="I28" s="40"/>
      <x:c r="J28" s="40" t="str">
        <x:v>Membership + servicing</x:v>
      </x:c>
      <x:c r="K28" s="40"/>
      <x:c r="L28" s="5"/>
    </x:row>
    <x:row r="29" ht="48" customHeight="1">
      <x:c r="A29" s="5"/>
      <x:c r="B29" s="114" t="str">
        <x:v>Share &amp; Control</x:v>
      </x:c>
      <x:c r="C29" s="114"/>
      <x:c r="D29" s="53" t="str">
        <x:v>Seller Roles &amp; Policies</x:v>
      </x:c>
      <x:c r="E29" s="53"/>
      <x:c r="F29" s="53" t="str">
        <x:v>Seller</x:v>
      </x:c>
      <x:c r="G29" s="53"/>
      <x:c r="H29" s="53" t="str">
        <x:v>Owner/admin/spender/viewer permissions</x:v>
      </x:c>
      <x:c r="I29" s="53"/>
      <x:c r="J29" s="53" t="str">
        <x:v>Membership + servicing</x:v>
      </x:c>
      <x:c r="K29" s="53"/>
      <x:c r="L29" s="5"/>
    </x:row>
    <x:row r="30" ht="48" customHeight="1">
      <x:c r="A30" s="5"/>
      <x:c r="B30" s="116" t="str">
        <x:v>Help &amp; Resolve</x:v>
      </x:c>
      <x:c r="C30" s="116"/>
      <x:c r="D30" s="40" t="str">
        <x:v>Payment &amp; Payout Support</x:v>
      </x:c>
      <x:c r="E30" s="40"/>
      <x:c r="F30" s="40" t="str">
        <x:v>Cross-platform</x:v>
      </x:c>
      <x:c r="G30" s="40"/>
      <x:c r="H30" s="40" t="str">
        <x:v>Case intake, ownership, SLA and resolution</x:v>
      </x:c>
      <x:c r="I30" s="40"/>
      <x:c r="J30" s="40" t="str">
        <x:v>Support cost</x:v>
      </x:c>
      <x:c r="K30" s="40"/>
      <x:c r="L30" s="5"/>
    </x:row>
    <x:row r="31" ht="48" customHeight="1">
      <x:c r="A31" s="5"/>
      <x:c r="B31" s="114" t="str">
        <x:v>Help &amp; Resolve</x:v>
      </x:c>
      <x:c r="C31" s="114"/>
      <x:c r="D31" s="53" t="str">
        <x:v>Dispute / Complaint</x:v>
      </x:c>
      <x:c r="E31" s="53"/>
      <x:c r="F31" s="53" t="str">
        <x:v>Cross-platform</x:v>
      </x:c>
      <x:c r="G31" s="53"/>
      <x:c r="H31" s="53" t="str">
        <x:v>Guided evidence, investigation and outcome</x:v>
      </x:c>
      <x:c r="I31" s="53"/>
      <x:c r="J31" s="53" t="str">
        <x:v>Loss + support</x:v>
      </x:c>
      <x:c r="K31" s="53"/>
      <x:c r="L31" s="5"/>
    </x:row>
    <x:row r="32" ht="48" customHeight="1">
      <x:c r="A32" s="5"/>
      <x:c r="B32" s="116" t="str">
        <x:v>Reward &amp; Retain</x:v>
      </x:c>
      <x:c r="C32" s="116"/>
      <x:c r="D32" s="40" t="str">
        <x:v>Value Statement</x:v>
      </x:c>
      <x:c r="E32" s="40"/>
      <x:c r="F32" s="40" t="str">
        <x:v>Cross-platform</x:v>
      </x:c>
      <x:c r="G32" s="40"/>
      <x:c r="H32" s="40" t="str">
        <x:v>Show fees, rewards, bonus and membership value</x:v>
      </x:c>
      <x:c r="I32" s="40"/>
      <x:c r="J32" s="40" t="str">
        <x:v>Retention</x:v>
      </x:c>
      <x:c r="K32" s="40"/>
      <x:c r="L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</x:row>
    <x:row r="36" ht="24" customHeight="1">
      <x:c r="A36" s="5"/>
      <x:c r="B36" s="28" t="str">
        <x:v>Service commitments to define before launch</x:v>
      </x:c>
      <x:c r="C36" s="28"/>
      <x:c r="D36" s="28"/>
      <x:c r="E36" s="28"/>
      <x:c r="F36" s="28"/>
      <x:c r="G36" s="28"/>
      <x:c r="H36" s="28"/>
      <x:c r="I36" s="28"/>
      <x:c r="J36" s="28"/>
      <x:c r="K36" s="28"/>
      <x:c r="L36" s="5"/>
    </x:row>
    <x:row r="37" ht="31" customHeight="1">
      <x:c r="A37" s="5"/>
      <x:c r="B37" s="294" t="str">
        <x:v>Availability</x:v>
      </x:c>
      <x:c r="C37" s="294"/>
      <x:c r="D37" s="294"/>
      <x:c r="E37" s="66" t="str">
        <x:v>Which channels and payment methods are supported, and when.</x:v>
      </x:c>
      <x:c r="F37" s="66"/>
      <x:c r="G37" s="66"/>
      <x:c r="H37" s="66"/>
      <x:c r="I37" s="66"/>
      <x:c r="J37" s="66"/>
      <x:c r="K37" s="66"/>
      <x:c r="L37" s="5"/>
    </x:row>
    <x:row r="38" ht="31" customHeight="1">
      <x:c r="A38" s="5"/>
      <x:c r="B38" s="296" t="str">
        <x:v>Scope</x:v>
      </x:c>
      <x:c r="C38" s="296"/>
      <x:c r="D38" s="296"/>
      <x:c r="E38" s="76" t="str">
        <x:v>Who is covered by one membership and which Seller account is included.</x:v>
      </x:c>
      <x:c r="F38" s="76"/>
      <x:c r="G38" s="76"/>
      <x:c r="H38" s="76"/>
      <x:c r="I38" s="76"/>
      <x:c r="J38" s="76"/>
      <x:c r="K38" s="76"/>
      <x:c r="L38" s="5"/>
    </x:row>
    <x:row r="39" ht="31" customHeight="1">
      <x:c r="A39" s="5"/>
      <x:c r="B39" s="294" t="str">
        <x:v>Pricing</x:v>
      </x:c>
      <x:c r="C39" s="294"/>
      <x:c r="D39" s="294"/>
      <x:c r="E39" s="66" t="str">
        <x:v>Membership, processing, optional fees, rewards and caps.</x:v>
      </x:c>
      <x:c r="F39" s="66"/>
      <x:c r="G39" s="66"/>
      <x:c r="H39" s="66"/>
      <x:c r="I39" s="66"/>
      <x:c r="J39" s="66"/>
      <x:c r="K39" s="66"/>
      <x:c r="L39" s="5"/>
    </x:row>
    <x:row r="40" ht="31" customHeight="1">
      <x:c r="A40" s="5"/>
      <x:c r="B40" s="296" t="str">
        <x:v>Approval</x:v>
      </x:c>
      <x:c r="C40" s="296"/>
      <x:c r="D40" s="296"/>
      <x:c r="E40" s="76" t="str">
        <x:v>Which services require KYC, KYB, underwriting, collateral or guardian authority.</x:v>
      </x:c>
      <x:c r="F40" s="76"/>
      <x:c r="G40" s="76"/>
      <x:c r="H40" s="76"/>
      <x:c r="I40" s="76"/>
      <x:c r="J40" s="76"/>
      <x:c r="K40" s="76"/>
      <x:c r="L40" s="5"/>
    </x:row>
    <x:row r="41" ht="31" customHeight="1">
      <x:c r="A41" s="5"/>
      <x:c r="B41" s="294" t="str">
        <x:v>Service level</x:v>
      </x:c>
      <x:c r="C41" s="294"/>
      <x:c r="D41" s="294"/>
      <x:c r="E41" s="66" t="str">
        <x:v>Application, payout, case and dispute response targets.</x:v>
      </x:c>
      <x:c r="F41" s="66"/>
      <x:c r="G41" s="66"/>
      <x:c r="H41" s="66"/>
      <x:c r="I41" s="66"/>
      <x:c r="J41" s="66"/>
      <x:c r="K41" s="66"/>
      <x:c r="L41" s="5"/>
    </x:row>
    <x:row r="42" ht="31" customHeight="1">
      <x:c r="A42" s="5"/>
      <x:c r="B42" s="296" t="str">
        <x:v>Support</x:v>
      </x:c>
      <x:c r="C42" s="296"/>
      <x:c r="D42" s="296"/>
      <x:c r="E42" s="76" t="str">
        <x:v>Channels, hours, priority rules and escalation.</x:v>
      </x:c>
      <x:c r="F42" s="76"/>
      <x:c r="G42" s="76"/>
      <x:c r="H42" s="76"/>
      <x:c r="I42" s="76"/>
      <x:c r="J42" s="76"/>
      <x:c r="K42" s="76"/>
      <x:c r="L42" s="5"/>
    </x:row>
    <x:row r="43" ht="31" customHeight="1">
      <x:c r="A43" s="5"/>
      <x:c r="B43" s="294" t="str">
        <x:v>Lifecycle</x:v>
      </x:c>
      <x:c r="C43" s="294"/>
      <x:c r="D43" s="294"/>
      <x:c r="E43" s="66" t="str">
        <x:v>Modify, suspend, resume, close and migrate rules.</x:v>
      </x:c>
      <x:c r="F43" s="66"/>
      <x:c r="G43" s="66"/>
      <x:c r="H43" s="66"/>
      <x:c r="I43" s="66"/>
      <x:c r="J43" s="66"/>
      <x:c r="K43" s="66"/>
      <x:c r="L43" s="5"/>
    </x:row>
    <x:row r="44" ht="31" customHeight="1">
      <x:c r="A44" s="5"/>
      <x:c r="B44" s="296" t="str">
        <x:v>Data and privacy</x:v>
      </x:c>
      <x:c r="C44" s="296"/>
      <x:c r="D44" s="296"/>
      <x:c r="E44" s="76" t="str">
        <x:v>Who may see, share or act on Personal, Household and Seller records.</x:v>
      </x:c>
      <x:c r="F44" s="76"/>
      <x:c r="G44" s="76"/>
      <x:c r="H44" s="76"/>
      <x:c r="I44" s="76"/>
      <x:c r="J44" s="76"/>
      <x:c r="K44" s="76"/>
      <x:c r="L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</x:row>
    <x:row r="47">
      <x:c r="A47" s="5"/>
      <x:c r="B47" s="459" t="str">
        <x:v>Service-to-cost map</x:v>
      </x:c>
      <x:c r="C47" s="459"/>
      <x:c r="D47" s="459"/>
      <x:c r="E47" s="459"/>
      <x:c r="F47" s="459"/>
      <x:c r="G47" s="459"/>
      <x:c r="H47" s="459"/>
      <x:c r="I47" s="459"/>
      <x:c r="J47" s="459"/>
      <x:c r="K47" s="459"/>
      <x:c r="L47" s="5"/>
    </x:row>
    <x:row r="48">
      <x:c r="A48" s="5"/>
      <x:c r="B48" s="463" t="str">
        <x:v>SERVICE OFFERING</x:v>
      </x:c>
      <x:c r="C48" s="463"/>
      <x:c r="D48" s="463" t="str">
        <x:v>ECONOMIC ENGINE</x:v>
      </x:c>
      <x:c r="E48" s="463"/>
      <x:c r="F48" s="463" t="str">
        <x:v>PRIMARY COST CENTERS</x:v>
      </x:c>
      <x:c r="G48" s="463"/>
      <x:c r="H48" s="463" t="str">
        <x:v>PRIMARY DRIVERS</x:v>
      </x:c>
      <x:c r="I48" s="463"/>
      <x:c r="J48" s="463" t="str">
        <x:v>RATE-CARD OWNER</x:v>
      </x:c>
      <x:c r="K48" s="463"/>
      <x:c r="L48" s="5"/>
    </x:row>
    <x:row r="49" ht="45" customHeight="1">
      <x:c r="A49" s="5"/>
      <x:c r="B49" s="719" t="str">
        <x:v>Select / Premier membership</x:v>
      </x:c>
      <x:c r="C49" s="719"/>
      <x:c r="D49" s="470" t="str">
        <x:v>Membership</x:v>
      </x:c>
      <x:c r="E49" s="470"/>
      <x:c r="F49" s="470" t="str">
        <x:v>Membership Ops • Customer Service • Technology &amp; Data</x:v>
      </x:c>
      <x:c r="G49" s="470"/>
      <x:c r="H49" s="470" t="str">
        <x:v>Member months • membership revenue • support hours</x:v>
      </x:c>
      <x:c r="I49" s="470"/>
      <x:c r="J49" s="470" t="str">
        <x:v>Membership</x:v>
      </x:c>
      <x:c r="K49" s="470"/>
      <x:c r="L49" s="5"/>
    </x:row>
    <x:row r="50" ht="45" customHeight="1">
      <x:c r="A50" s="5"/>
      <x:c r="B50" s="720" t="str">
        <x:v>Quick Sell</x:v>
      </x:c>
      <x:c r="C50" s="720"/>
      <x:c r="D50" s="464" t="str">
        <x:v>PayFac</x:v>
      </x:c>
      <x:c r="E50" s="464"/>
      <x:c r="F50" s="464" t="str">
        <x:v>Seller Ops &amp; Risk • Customer Service</x:v>
      </x:c>
      <x:c r="G50" s="464"/>
      <x:c r="H50" s="464" t="str">
        <x:v>Sales • auth attempts • seller profile months • payouts</x:v>
      </x:c>
      <x:c r="I50" s="464"/>
      <x:c r="J50" s="464" t="str">
        <x:v>PayFac</x:v>
      </x:c>
      <x:c r="K50" s="464"/>
      <x:c r="L50" s="5"/>
    </x:row>
    <x:row r="51" ht="45" customHeight="1">
      <x:c r="A51" s="5"/>
      <x:c r="B51" s="719" t="str">
        <x:v>Full Seller Acceptance</x:v>
      </x:c>
      <x:c r="C51" s="719"/>
      <x:c r="D51" s="470" t="str">
        <x:v>PayFac</x:v>
      </x:c>
      <x:c r="E51" s="470"/>
      <x:c r="F51" s="470" t="str">
        <x:v>Seller Ops &amp; Risk • Compliance &amp; Finance</x:v>
      </x:c>
      <x:c r="G51" s="470"/>
      <x:c r="H51" s="470" t="str">
        <x:v>Sales • auths • disputes • payouts • review hours</x:v>
      </x:c>
      <x:c r="I51" s="470"/>
      <x:c r="J51" s="470" t="str">
        <x:v>PayFac</x:v>
      </x:c>
      <x:c r="K51" s="470"/>
      <x:c r="L51" s="5"/>
    </x:row>
    <x:row r="52" ht="45" customHeight="1">
      <x:c r="A52" s="5"/>
      <x:c r="B52" s="720" t="str">
        <x:v>Personal Spend</x:v>
      </x:c>
      <x:c r="C52" s="720"/>
      <x:c r="D52" s="464" t="str">
        <x:v>Issuing</x:v>
      </x:c>
      <x:c r="E52" s="464"/>
      <x:c r="F52" s="464" t="str">
        <x:v>Issuing Ops &amp; Risk • Customer Service</x:v>
      </x:c>
      <x:c r="G52" s="464"/>
      <x:c r="H52" s="464" t="str">
        <x:v>Spend • accounts • physical/virtual access • funding balance</x:v>
      </x:c>
      <x:c r="I52" s="464"/>
      <x:c r="J52" s="464" t="str">
        <x:v>Issuing</x:v>
      </x:c>
      <x:c r="K52" s="464"/>
      <x:c r="L52" s="5"/>
    </x:row>
    <x:row r="53" ht="45" customHeight="1">
      <x:c r="A53" s="5"/>
      <x:c r="B53" s="719" t="str">
        <x:v>Household Spend</x:v>
      </x:c>
      <x:c r="C53" s="719"/>
      <x:c r="D53" s="470" t="str">
        <x:v>Issuing / Membership</x:v>
      </x:c>
      <x:c r="E53" s="470"/>
      <x:c r="F53" s="470" t="str">
        <x:v>Customer Service • Issuing Ops &amp; Risk</x:v>
      </x:c>
      <x:c r="G53" s="470"/>
      <x:c r="H53" s="470" t="str">
        <x:v>Participant months • support hours • accounts • spend</x:v>
      </x:c>
      <x:c r="I53" s="470"/>
      <x:c r="J53" s="470" t="str">
        <x:v>Issuing / Membership</x:v>
      </x:c>
      <x:c r="K53" s="470"/>
      <x:c r="L53" s="5"/>
    </x:row>
    <x:row r="54" ht="45" customHeight="1">
      <x:c r="A54" s="5"/>
      <x:c r="B54" s="720" t="str">
        <x:v>Seller Spend</x:v>
      </x:c>
      <x:c r="C54" s="720"/>
      <x:c r="D54" s="464" t="str">
        <x:v>Issuing</x:v>
      </x:c>
      <x:c r="E54" s="464"/>
      <x:c r="F54" s="464" t="str">
        <x:v>Issuing Ops &amp; Risk • Compliance &amp; Finance</x:v>
      </x:c>
      <x:c r="G54" s="464"/>
      <x:c r="H54" s="464" t="str">
        <x:v>Spend • accounts • funding • disputes • support</x:v>
      </x:c>
      <x:c r="I54" s="464"/>
      <x:c r="J54" s="464" t="str">
        <x:v>Issuing</x:v>
      </x:c>
      <x:c r="K54" s="464"/>
      <x:c r="L54" s="5"/>
    </x:row>
    <x:row r="55" ht="45" customHeight="1">
      <x:c r="A55" s="5"/>
      <x:c r="B55" s="719" t="str">
        <x:v>Help &amp; Resolve</x:v>
      </x:c>
      <x:c r="C55" s="719"/>
      <x:c r="D55" s="470" t="str">
        <x:v>Shared</x:v>
      </x:c>
      <x:c r="E55" s="470"/>
      <x:c r="F55" s="470" t="str">
        <x:v>Customer Service • Compliance &amp; Finance</x:v>
      </x:c>
      <x:c r="G55" s="470"/>
      <x:c r="H55" s="470" t="str">
        <x:v>Support hours • disputes • complaints • cases</x:v>
      </x:c>
      <x:c r="I55" s="470"/>
      <x:c r="J55" s="470" t="str">
        <x:v>Shared</x:v>
      </x:c>
      <x:c r="K55" s="470"/>
      <x:c r="L55" s="5"/>
    </x:row>
    <x:row r="56" ht="45" customHeight="1">
      <x:c r="A56" s="5"/>
      <x:c r="B56" s="720" t="str">
        <x:v>Wholesale Partner Program</x:v>
      </x:c>
      <x:c r="C56" s="720"/>
      <x:c r="D56" s="464" t="str">
        <x:v>Partner</x:v>
      </x:c>
      <x:c r="E56" s="464"/>
      <x:c r="F56" s="464" t="str">
        <x:v>Partner &amp; Channel • Technology &amp; Data</x:v>
      </x:c>
      <x:c r="G56" s="464"/>
      <x:c r="H56" s="464" t="str">
        <x:v>Partner members • partner revenue • support hours • programs</x:v>
      </x:c>
      <x:c r="I56" s="464"/>
      <x:c r="J56" s="464" t="str">
        <x:v>Partner</x:v>
      </x:c>
      <x:c r="K56" s="464"/>
      <x:c r="L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</x:row>
  </x:sheetData>
  <x:mergeCells>
    <x:mergeCell ref="B2:K2"/>
    <x:mergeCell ref="B3:K3"/>
    <x:mergeCell ref="B5:K5"/>
    <x:mergeCell ref="B7:K7"/>
    <x:mergeCell ref="B8:C8"/>
    <x:mergeCell ref="D8:G8"/>
    <x:mergeCell ref="H8:K8"/>
    <x:mergeCell ref="B9:C9"/>
    <x:mergeCell ref="D9:G9"/>
    <x:mergeCell ref="H9:K9"/>
    <x:mergeCell ref="B10:C10"/>
    <x:mergeCell ref="D10:G10"/>
    <x:mergeCell ref="H10:K10"/>
    <x:mergeCell ref="B11:C11"/>
    <x:mergeCell ref="D11:G11"/>
    <x:mergeCell ref="H11:K11"/>
    <x:mergeCell ref="B12:C12"/>
    <x:mergeCell ref="D12:G12"/>
    <x:mergeCell ref="H12:K12"/>
    <x:mergeCell ref="B13:C13"/>
    <x:mergeCell ref="D13:G13"/>
    <x:mergeCell ref="H13:K13"/>
    <x:mergeCell ref="B14:C14"/>
    <x:mergeCell ref="D14:G14"/>
    <x:mergeCell ref="H14:K14"/>
    <x:mergeCell ref="B18:K18"/>
    <x:mergeCell ref="B20:C20"/>
    <x:mergeCell ref="D20:E20"/>
    <x:mergeCell ref="F20:G20"/>
    <x:mergeCell ref="H20:I20"/>
    <x:mergeCell ref="J20:K20"/>
    <x:mergeCell ref="B21:C21"/>
    <x:mergeCell ref="D21:E21"/>
    <x:mergeCell ref="F21:G21"/>
    <x:mergeCell ref="H21:I21"/>
    <x:mergeCell ref="J21:K21"/>
    <x:mergeCell ref="B22:C22"/>
    <x:mergeCell ref="D22:E22"/>
    <x:mergeCell ref="F22:G22"/>
    <x:mergeCell ref="H22:I22"/>
    <x:mergeCell ref="J22:K22"/>
    <x:mergeCell ref="B23:C23"/>
    <x:mergeCell ref="D23:E23"/>
    <x:mergeCell ref="F23:G23"/>
    <x:mergeCell ref="H23:I23"/>
    <x:mergeCell ref="J23:K23"/>
    <x:mergeCell ref="B24:C24"/>
    <x:mergeCell ref="D24:E24"/>
    <x:mergeCell ref="F24:G24"/>
    <x:mergeCell ref="H24:I24"/>
    <x:mergeCell ref="J24:K24"/>
    <x:mergeCell ref="B25:C25"/>
    <x:mergeCell ref="D25:E25"/>
    <x:mergeCell ref="F25:G25"/>
    <x:mergeCell ref="H25:I25"/>
    <x:mergeCell ref="J25:K25"/>
    <x:mergeCell ref="B26:C26"/>
    <x:mergeCell ref="D26:E26"/>
    <x:mergeCell ref="F26:G26"/>
    <x:mergeCell ref="H26:I26"/>
    <x:mergeCell ref="J26:K26"/>
    <x:mergeCell ref="B27:C27"/>
    <x:mergeCell ref="D27:E27"/>
    <x:mergeCell ref="F27:G27"/>
    <x:mergeCell ref="H27:I27"/>
    <x:mergeCell ref="J27:K27"/>
    <x:mergeCell ref="B28:C28"/>
    <x:mergeCell ref="D28:E28"/>
    <x:mergeCell ref="F28:G28"/>
    <x:mergeCell ref="H28:I28"/>
    <x:mergeCell ref="J28:K28"/>
    <x:mergeCell ref="B29:C29"/>
    <x:mergeCell ref="D29:E29"/>
    <x:mergeCell ref="F29:G29"/>
    <x:mergeCell ref="H29:I29"/>
    <x:mergeCell ref="J29:K29"/>
    <x:mergeCell ref="B30:C30"/>
    <x:mergeCell ref="D30:E30"/>
    <x:mergeCell ref="F30:G30"/>
    <x:mergeCell ref="H30:I30"/>
    <x:mergeCell ref="J30:K30"/>
    <x:mergeCell ref="B31:C31"/>
    <x:mergeCell ref="D31:E31"/>
    <x:mergeCell ref="F31:G31"/>
    <x:mergeCell ref="H31:I31"/>
    <x:mergeCell ref="J31:K31"/>
    <x:mergeCell ref="B32:C32"/>
    <x:mergeCell ref="D32:E32"/>
    <x:mergeCell ref="F32:G32"/>
    <x:mergeCell ref="H32:I32"/>
    <x:mergeCell ref="J32:K32"/>
    <x:mergeCell ref="B36:K36"/>
    <x:mergeCell ref="B37:D37"/>
    <x:mergeCell ref="E37:K37"/>
    <x:mergeCell ref="B38:D38"/>
    <x:mergeCell ref="E38:K38"/>
    <x:mergeCell ref="B39:D39"/>
    <x:mergeCell ref="E39:K39"/>
    <x:mergeCell ref="B40:D40"/>
    <x:mergeCell ref="E40:K40"/>
    <x:mergeCell ref="B41:D41"/>
    <x:mergeCell ref="E41:K41"/>
    <x:mergeCell ref="B42:D42"/>
    <x:mergeCell ref="E42:K42"/>
    <x:mergeCell ref="B43:D43"/>
    <x:mergeCell ref="E43:K43"/>
    <x:mergeCell ref="B44:D44"/>
    <x:mergeCell ref="E44:K44"/>
    <x:mergeCell ref="B47:K47"/>
    <x:mergeCell ref="B49:C49"/>
    <x:mergeCell ref="D49:E49"/>
    <x:mergeCell ref="F49:G49"/>
    <x:mergeCell ref="H49:I49"/>
    <x:mergeCell ref="J49:K49"/>
    <x:mergeCell ref="B50:C50"/>
    <x:mergeCell ref="D50:E50"/>
    <x:mergeCell ref="F50:G50"/>
    <x:mergeCell ref="H50:I50"/>
    <x:mergeCell ref="J50:K50"/>
    <x:mergeCell ref="B51:C51"/>
    <x:mergeCell ref="D51:E51"/>
    <x:mergeCell ref="F51:G51"/>
    <x:mergeCell ref="H51:I51"/>
    <x:mergeCell ref="J51:K51"/>
    <x:mergeCell ref="B52:C52"/>
    <x:mergeCell ref="D52:E52"/>
    <x:mergeCell ref="F52:G52"/>
    <x:mergeCell ref="H52:I52"/>
    <x:mergeCell ref="J52:K52"/>
    <x:mergeCell ref="B53:C53"/>
    <x:mergeCell ref="D53:E53"/>
    <x:mergeCell ref="F53:G53"/>
    <x:mergeCell ref="H53:I53"/>
    <x:mergeCell ref="J53:K53"/>
    <x:mergeCell ref="B54:C54"/>
    <x:mergeCell ref="D54:E54"/>
    <x:mergeCell ref="F54:G54"/>
    <x:mergeCell ref="H54:I54"/>
    <x:mergeCell ref="J54:K54"/>
    <x:mergeCell ref="B55:C55"/>
    <x:mergeCell ref="D55:E55"/>
    <x:mergeCell ref="F55:G55"/>
    <x:mergeCell ref="H55:I55"/>
    <x:mergeCell ref="J55:K55"/>
    <x:mergeCell ref="B56:C56"/>
    <x:mergeCell ref="D56:E56"/>
    <x:mergeCell ref="F56:G56"/>
    <x:mergeCell ref="H56:I56"/>
    <x:mergeCell ref="J56:K5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5" hidden="0" customWidth="1"/>
    <x:col min="3" max="3" width="21" hidden="0" customWidth="1"/>
    <x:col min="4" max="4" width="3" hidden="0" customWidth="1"/>
    <x:col min="5" max="5" width="21" hidden="0" customWidth="1"/>
    <x:col min="6" max="6" width="3" hidden="0" customWidth="1"/>
    <x:col min="7" max="7" width="21" hidden="0" customWidth="1"/>
    <x:col min="8" max="8" width="3" hidden="0" customWidth="1"/>
    <x:col min="9" max="9" width="21" hidden="0" customWidth="1"/>
    <x:col min="10" max="10" width="3" hidden="0" customWidth="1"/>
    <x:col min="11" max="11" width="21" hidden="0" customWidth="1"/>
    <x:col min="12" max="12" width="2.20000004768371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5"/>
      <x:c r="B2" s="12" t="str">
        <x:v>Operations Workspace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5"/>
    </x:row>
    <x:row r="3" ht="24" customHeight="1">
      <x:c r="A3" s="5"/>
      <x:c r="B3" s="18" t="str">
        <x:v>Landing metrics, work queues, playbooks, ownership and service levels.</x:v>
      </x:c>
      <x:c r="C3" s="18"/>
      <x:c r="D3" s="18"/>
      <x:c r="E3" s="18"/>
      <x:c r="F3" s="18"/>
      <x:c r="G3" s="18"/>
      <x:c r="H3" s="18"/>
      <x:c r="I3" s="18"/>
      <x:c r="J3" s="18"/>
      <x:c r="K3" s="18"/>
      <x:c r="L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31" customHeight="1">
      <x:c r="A5" s="5"/>
      <x:c r="B5" s="111" t="str">
        <x:v>This sheet is an operating template. Current volumes and targets remain blank until live or forecast data is entered.</x:v>
      </x:c>
      <x:c r="C5" s="111"/>
      <x:c r="D5" s="111"/>
      <x:c r="E5" s="111"/>
      <x:c r="F5" s="111"/>
      <x:c r="G5" s="111"/>
      <x:c r="H5" s="111"/>
      <x:c r="I5" s="111"/>
      <x:c r="J5" s="111"/>
      <x:c r="K5" s="111"/>
      <x:c r="L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</x:row>
    <x:row r="7" ht="24" customHeight="1">
      <x:c r="A7" s="5"/>
      <x:c r="B7" s="28" t="str">
        <x:v>Queue health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5"/>
    </x:row>
    <x:row r="8">
      <x:c r="A8" s="5"/>
      <x:c r="B8" s="35" t="str">
        <x:v>OPEN WORK</x:v>
      </x:c>
      <x:c r="C8" s="35"/>
      <x:c r="D8" s="35" t="str">
        <x:v>PAST DUE</x:v>
      </x:c>
      <x:c r="E8" s="35"/>
      <x:c r="F8" s="35" t="str">
        <x:v>WAITING ON CUSTOMER</x:v>
      </x:c>
      <x:c r="G8" s="35"/>
      <x:c r="H8" s="35" t="str">
        <x:v>MANUAL REVIEW</x:v>
      </x:c>
      <x:c r="I8" s="35"/>
      <x:c r="J8" s="35" t="str">
        <x:v>CASES NEAR SLA</x:v>
      </x:c>
      <x:c r="K8" s="35"/>
      <x:c r="L8" s="5"/>
    </x:row>
    <x:row r="9">
      <x:c r="A9" s="5"/>
      <x:c r="B9" s="304" t="str">
        <x:v>—</x:v>
      </x:c>
      <x:c r="C9" s="305"/>
      <x:c r="D9" s="304" t="str">
        <x:v>—</x:v>
      </x:c>
      <x:c r="E9" s="305"/>
      <x:c r="F9" s="304" t="str">
        <x:v>—</x:v>
      </x:c>
      <x:c r="G9" s="305"/>
      <x:c r="H9" s="304" t="str">
        <x:v>—</x:v>
      </x:c>
      <x:c r="I9" s="305"/>
      <x:c r="J9" s="304" t="str">
        <x:v>—</x:v>
      </x:c>
      <x:c r="K9" s="305"/>
      <x:c r="L9" s="5"/>
    </x:row>
    <x:row r="10">
      <x:c r="A10" s="5"/>
      <x:c r="B10" s="306"/>
      <x:c r="C10" s="307"/>
      <x:c r="D10" s="306"/>
      <x:c r="E10" s="307"/>
      <x:c r="F10" s="306"/>
      <x:c r="G10" s="307"/>
      <x:c r="H10" s="306"/>
      <x:c r="I10" s="307"/>
      <x:c r="J10" s="306"/>
      <x:c r="K10" s="307"/>
      <x:c r="L10" s="5"/>
    </x:row>
    <x:row r="11">
      <x:c r="A11" s="5"/>
      <x:c r="B11" s="308"/>
      <x:c r="C11" s="309"/>
      <x:c r="D11" s="308"/>
      <x:c r="E11" s="309"/>
      <x:c r="F11" s="308"/>
      <x:c r="G11" s="309"/>
      <x:c r="H11" s="308"/>
      <x:c r="I11" s="309"/>
      <x:c r="J11" s="308"/>
      <x:c r="K11" s="309"/>
      <x:c r="L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</x:row>
    <x:row r="14" ht="24" customHeight="1">
      <x:c r="A14" s="5"/>
      <x:c r="B14" s="28" t="str">
        <x:v>Work queues</x:v>
      </x:c>
      <x:c r="C14" s="28"/>
      <x:c r="D14" s="28"/>
      <x:c r="E14" s="28"/>
      <x:c r="F14" s="28"/>
      <x:c r="G14" s="28"/>
      <x:c r="H14" s="28"/>
      <x:c r="I14" s="28"/>
      <x:c r="J14" s="28"/>
      <x:c r="K14" s="28"/>
      <x:c r="L14" s="5"/>
    </x:row>
    <x:row r="15" ht="25" customHeight="1">
      <x:c r="A15" s="5"/>
      <x:c r="B15" s="35" t="str">
        <x:v>QUEUE / CASE TYPE</x:v>
      </x:c>
      <x:c r="C15" s="35"/>
      <x:c r="D15" s="35" t="str">
        <x:v>PRIMARY OWNER</x:v>
      </x:c>
      <x:c r="E15" s="35"/>
      <x:c r="F15" s="35" t="str">
        <x:v>STANDARD PLAYBOOK</x:v>
      </x:c>
      <x:c r="G15" s="35"/>
      <x:c r="H15" s="35" t="str">
        <x:v>CURRENT WORK</x:v>
      </x:c>
      <x:c r="I15" s="35"/>
      <x:c r="J15" s="35" t="str">
        <x:v>TARGET SLA</x:v>
      </x:c>
      <x:c r="K15" s="35"/>
      <x:c r="L15" s="5"/>
    </x:row>
    <x:row r="16" ht="47" customHeight="1">
      <x:c r="A16" s="5"/>
      <x:c r="B16" s="116" t="str">
        <x:v>Membership onboarding</x:v>
      </x:c>
      <x:c r="C16" s="116"/>
      <x:c r="D16" s="40" t="str">
        <x:v>Membership Ops</x:v>
      </x:c>
      <x:c r="E16" s="40"/>
      <x:c r="F16" s="40" t="str">
        <x:v>Join → verify → welcome</x:v>
      </x:c>
      <x:c r="G16" s="40"/>
      <x:c r="H16" s="324"/>
      <x:c r="I16" s="324"/>
      <x:c r="J16" s="324"/>
      <x:c r="K16" s="324"/>
      <x:c r="L16" s="5"/>
    </x:row>
    <x:row r="17" ht="47" customHeight="1">
      <x:c r="A17" s="5"/>
      <x:c r="B17" s="114" t="str">
        <x:v>Seller onboarding</x:v>
      </x:c>
      <x:c r="C17" s="114"/>
      <x:c r="D17" s="53" t="str">
        <x:v>Seller Risk / Ops</x:v>
      </x:c>
      <x:c r="E17" s="53"/>
      <x:c r="F17" s="53" t="str">
        <x:v>Intake → KYC/KYB → risk → agreement → activate</x:v>
      </x:c>
      <x:c r="G17" s="53"/>
      <x:c r="H17" s="324"/>
      <x:c r="I17" s="324"/>
      <x:c r="J17" s="324"/>
      <x:c r="K17" s="324"/>
      <x:c r="L17" s="5"/>
    </x:row>
    <x:row r="18" ht="47" customHeight="1">
      <x:c r="A18" s="5"/>
      <x:c r="B18" s="116" t="str">
        <x:v>Personal spending application</x:v>
      </x:c>
      <x:c r="C18" s="116"/>
      <x:c r="D18" s="40" t="str">
        <x:v>Consumer Ops / Risk</x:v>
      </x:c>
      <x:c r="E18" s="40"/>
      <x:c r="F18" s="40" t="str">
        <x:v>Apply → verify → secure → activate</x:v>
      </x:c>
      <x:c r="G18" s="40"/>
      <x:c r="H18" s="324"/>
      <x:c r="I18" s="324"/>
      <x:c r="J18" s="324"/>
      <x:c r="K18" s="324"/>
      <x:c r="L18" s="5"/>
    </x:row>
    <x:row r="19" ht="47" customHeight="1">
      <x:c r="A19" s="5"/>
      <x:c r="B19" s="114" t="str">
        <x:v>Seller spending application</x:v>
      </x:c>
      <x:c r="C19" s="114"/>
      <x:c r="D19" s="53" t="str">
        <x:v>Commercial Ops / Risk</x:v>
      </x:c>
      <x:c r="E19" s="53"/>
      <x:c r="F19" s="53" t="str">
        <x:v>Apply → verify → secure/fund → controls → activate</x:v>
      </x:c>
      <x:c r="G19" s="53"/>
      <x:c r="H19" s="324"/>
      <x:c r="I19" s="324"/>
      <x:c r="J19" s="324"/>
      <x:c r="K19" s="324"/>
      <x:c r="L19" s="5"/>
    </x:row>
    <x:row r="20" ht="47" customHeight="1">
      <x:c r="A20" s="5"/>
      <x:c r="B20" s="116" t="str">
        <x:v>Household participant request</x:v>
      </x:c>
      <x:c r="C20" s="116"/>
      <x:c r="D20" s="40" t="str">
        <x:v>Member Service</x:v>
      </x:c>
      <x:c r="E20" s="40"/>
      <x:c r="F20" s="40" t="str">
        <x:v>Invite → verify role/age → permission → activate</x:v>
      </x:c>
      <x:c r="G20" s="40"/>
      <x:c r="H20" s="324"/>
      <x:c r="I20" s="324"/>
      <x:c r="J20" s="324"/>
      <x:c r="K20" s="324"/>
      <x:c r="L20" s="5"/>
    </x:row>
    <x:row r="21" ht="47" customHeight="1">
      <x:c r="A21" s="5"/>
      <x:c r="B21" s="114" t="str">
        <x:v>Payment or payout inquiry</x:v>
      </x:c>
      <x:c r="C21" s="114"/>
      <x:c r="D21" s="53" t="str">
        <x:v>Payments Ops</x:v>
      </x:c>
      <x:c r="E21" s="53"/>
      <x:c r="F21" s="53" t="str">
        <x:v>Intake → trace → resolve → communicate → close</x:v>
      </x:c>
      <x:c r="G21" s="53"/>
      <x:c r="H21" s="324"/>
      <x:c r="I21" s="324"/>
      <x:c r="J21" s="324"/>
      <x:c r="K21" s="324"/>
      <x:c r="L21" s="5"/>
    </x:row>
    <x:row r="22" ht="47" customHeight="1">
      <x:c r="A22" s="5"/>
      <x:c r="B22" s="116" t="str">
        <x:v>Refund / dispute / chargeback</x:v>
      </x:c>
      <x:c r="C22" s="116"/>
      <x:c r="D22" s="40" t="str">
        <x:v>Disputes Ops</x:v>
      </x:c>
      <x:c r="E22" s="40"/>
      <x:c r="F22" s="40" t="str">
        <x:v>Intake → evidence → investigate → outcome → close</x:v>
      </x:c>
      <x:c r="G22" s="40"/>
      <x:c r="H22" s="324"/>
      <x:c r="I22" s="324"/>
      <x:c r="J22" s="324"/>
      <x:c r="K22" s="324"/>
      <x:c r="L22" s="5"/>
    </x:row>
    <x:row r="23" ht="47" customHeight="1">
      <x:c r="A23" s="5"/>
      <x:c r="B23" s="114" t="str">
        <x:v>Fraud or risk review</x:v>
      </x:c>
      <x:c r="C23" s="114"/>
      <x:c r="D23" s="53" t="str">
        <x:v>Risk</x:v>
      </x:c>
      <x:c r="E23" s="53"/>
      <x:c r="F23" s="53" t="str">
        <x:v>Detect → restrict → investigate → decide → restore/close</x:v>
      </x:c>
      <x:c r="G23" s="53"/>
      <x:c r="H23" s="324"/>
      <x:c r="I23" s="324"/>
      <x:c r="J23" s="324"/>
      <x:c r="K23" s="324"/>
      <x:c r="L23" s="5"/>
    </x:row>
    <x:row r="24" ht="47" customHeight="1">
      <x:c r="A24" s="5"/>
      <x:c r="B24" s="116" t="str">
        <x:v>Complaint</x:v>
      </x:c>
      <x:c r="C24" s="116"/>
      <x:c r="D24" s="40" t="str">
        <x:v>Customer Service / Compliance</x:v>
      </x:c>
      <x:c r="E24" s="40"/>
      <x:c r="F24" s="40" t="str">
        <x:v>Intake → classify → investigate → resolve → quality review</x:v>
      </x:c>
      <x:c r="G24" s="40"/>
      <x:c r="H24" s="324"/>
      <x:c r="I24" s="324"/>
      <x:c r="J24" s="324"/>
      <x:c r="K24" s="324"/>
      <x:c r="L24" s="5"/>
    </x:row>
    <x:row r="25" ht="47" customHeight="1">
      <x:c r="A25" s="5"/>
      <x:c r="B25" s="114" t="str">
        <x:v>Renewal / cancellation</x:v>
      </x:c>
      <x:c r="C25" s="114"/>
      <x:c r="D25" s="53" t="str">
        <x:v>Membership Ops</x:v>
      </x:c>
      <x:c r="E25" s="53"/>
      <x:c r="F25" s="53" t="str">
        <x:v>Review value → decision → execute → confirm</x:v>
      </x:c>
      <x:c r="G25" s="53"/>
      <x:c r="H25" s="324"/>
      <x:c r="I25" s="324"/>
      <x:c r="J25" s="324"/>
      <x:c r="K25" s="324"/>
      <x:c r="L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</x:row>
    <x:row r="29" ht="24" customHeight="1">
      <x:c r="A29" s="5"/>
      <x:c r="B29" s="28" t="str">
        <x:v>Common case states</x:v>
      </x:c>
      <x:c r="C29" s="28"/>
      <x:c r="D29" s="28"/>
      <x:c r="E29" s="28"/>
      <x:c r="F29" s="28"/>
      <x:c r="G29" s="28"/>
      <x:c r="H29" s="28"/>
      <x:c r="I29" s="28"/>
      <x:c r="J29" s="28"/>
      <x:c r="K29" s="28"/>
      <x:c r="L29" s="5"/>
    </x:row>
    <x:row r="30" ht="32" customHeight="1">
      <x:c r="A30" s="5"/>
      <x:c r="B30" s="276" t="str">
        <x:v>New</x:v>
      </x:c>
      <x:c r="C30" s="276"/>
      <x:c r="D30" s="276"/>
      <x:c r="E30" s="76" t="str">
        <x:v>Request received; ownership not yet confirmed.</x:v>
      </x:c>
      <x:c r="F30" s="76"/>
      <x:c r="G30" s="76"/>
      <x:c r="H30" s="76"/>
      <x:c r="I30" s="76"/>
      <x:c r="J30" s="76"/>
      <x:c r="K30" s="76"/>
      <x:c r="L30" s="5"/>
    </x:row>
    <x:row r="31" ht="32" customHeight="1">
      <x:c r="A31" s="5"/>
      <x:c r="B31" s="278" t="str">
        <x:v>Triage</x:v>
      </x:c>
      <x:c r="C31" s="278"/>
      <x:c r="D31" s="278"/>
      <x:c r="E31" s="66" t="str">
        <x:v>Classify intent, priority, service, account and related transaction.</x:v>
      </x:c>
      <x:c r="F31" s="66"/>
      <x:c r="G31" s="66"/>
      <x:c r="H31" s="66"/>
      <x:c r="I31" s="66"/>
      <x:c r="J31" s="66"/>
      <x:c r="K31" s="66"/>
      <x:c r="L31" s="5"/>
    </x:row>
    <x:row r="32" ht="32" customHeight="1">
      <x:c r="A32" s="5"/>
      <x:c r="B32" s="276" t="str">
        <x:v>Working</x:v>
      </x:c>
      <x:c r="C32" s="276"/>
      <x:c r="D32" s="276"/>
      <x:c r="E32" s="76" t="str">
        <x:v>Assigned team is actively completing the current activity.</x:v>
      </x:c>
      <x:c r="F32" s="76"/>
      <x:c r="G32" s="76"/>
      <x:c r="H32" s="76"/>
      <x:c r="I32" s="76"/>
      <x:c r="J32" s="76"/>
      <x:c r="K32" s="76"/>
      <x:c r="L32" s="5"/>
    </x:row>
    <x:row r="33" ht="32" customHeight="1">
      <x:c r="A33" s="5"/>
      <x:c r="B33" s="278" t="str">
        <x:v>Waiting</x:v>
      </x:c>
      <x:c r="C33" s="278"/>
      <x:c r="D33" s="278"/>
      <x:c r="E33" s="66" t="str">
        <x:v>Waiting on customer, partner, bank, network or another team.</x:v>
      </x:c>
      <x:c r="F33" s="66"/>
      <x:c r="G33" s="66"/>
      <x:c r="H33" s="66"/>
      <x:c r="I33" s="66"/>
      <x:c r="J33" s="66"/>
      <x:c r="K33" s="66"/>
      <x:c r="L33" s="5"/>
    </x:row>
    <x:row r="34" ht="32" customHeight="1">
      <x:c r="A34" s="5"/>
      <x:c r="B34" s="276" t="str">
        <x:v>Resolved</x:v>
      </x:c>
      <x:c r="C34" s="276"/>
      <x:c r="D34" s="276"/>
      <x:c r="E34" s="76" t="str">
        <x:v>Outcome completed and communicated; monitor for reopen.</x:v>
      </x:c>
      <x:c r="F34" s="76"/>
      <x:c r="G34" s="76"/>
      <x:c r="H34" s="76"/>
      <x:c r="I34" s="76"/>
      <x:c r="J34" s="76"/>
      <x:c r="K34" s="76"/>
      <x:c r="L34" s="5"/>
    </x:row>
    <x:row r="35" ht="32" customHeight="1">
      <x:c r="A35" s="5"/>
      <x:c r="B35" s="278" t="str">
        <x:v>Closed</x:v>
      </x:c>
      <x:c r="C35" s="278"/>
      <x:c r="D35" s="278"/>
      <x:c r="E35" s="66" t="str">
        <x:v>No further action; records and evidence retained.</x:v>
      </x:c>
      <x:c r="F35" s="66"/>
      <x:c r="G35" s="66"/>
      <x:c r="H35" s="66"/>
      <x:c r="I35" s="66"/>
      <x:c r="J35" s="66"/>
      <x:c r="K35" s="66"/>
      <x:c r="L35" s="5"/>
    </x:row>
    <x:row r="36" ht="32" customHeight="1">
      <x:c r="A36" s="5"/>
      <x:c r="B36" s="276" t="str">
        <x:v>Restricted / Suspended</x:v>
      </x:c>
      <x:c r="C36" s="276"/>
      <x:c r="D36" s="276"/>
      <x:c r="E36" s="76" t="str">
        <x:v>Related service is temporarily limited while risk or compliance work continues.</x:v>
      </x:c>
      <x:c r="F36" s="76"/>
      <x:c r="G36" s="76"/>
      <x:c r="H36" s="76"/>
      <x:c r="I36" s="76"/>
      <x:c r="J36" s="76"/>
      <x:c r="K36" s="76"/>
      <x:c r="L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</x:row>
    <x:row r="40" ht="24" customHeight="1">
      <x:c r="A40" s="5"/>
      <x:c r="B40" s="28" t="str">
        <x:v>Playbook design rule</x:v>
      </x:c>
      <x:c r="C40" s="28"/>
      <x:c r="D40" s="28"/>
      <x:c r="E40" s="28"/>
      <x:c r="F40" s="28"/>
      <x:c r="G40" s="28"/>
      <x:c r="H40" s="28"/>
      <x:c r="I40" s="28"/>
      <x:c r="J40" s="28"/>
      <x:c r="K40" s="28"/>
      <x:c r="L40" s="5"/>
    </x:row>
    <x:row r="41" ht="34" customHeight="1">
      <x:c r="A41" s="5"/>
      <x:c r="B41" s="294" t="str">
        <x:v>Show the current stage</x:v>
      </x:c>
      <x:c r="C41" s="294"/>
      <x:c r="D41" s="294"/>
      <x:c r="E41" s="66" t="str">
        <x:v>The user and operator should know exactly where the work is.</x:v>
      </x:c>
      <x:c r="F41" s="66"/>
      <x:c r="G41" s="66"/>
      <x:c r="H41" s="66"/>
      <x:c r="I41" s="66"/>
      <x:c r="J41" s="66"/>
      <x:c r="K41" s="66"/>
      <x:c r="L41" s="5"/>
    </x:row>
    <x:row r="42" ht="34" customHeight="1">
      <x:c r="A42" s="5"/>
      <x:c r="B42" s="296" t="str">
        <x:v>Highlight the current activity</x:v>
      </x:c>
      <x:c r="C42" s="296"/>
      <x:c r="D42" s="296"/>
      <x:c r="E42" s="76" t="str">
        <x:v>The next required action should be obvious.</x:v>
      </x:c>
      <x:c r="F42" s="76"/>
      <x:c r="G42" s="76"/>
      <x:c r="H42" s="76"/>
      <x:c r="I42" s="76"/>
      <x:c r="J42" s="76"/>
      <x:c r="K42" s="76"/>
      <x:c r="L42" s="5"/>
    </x:row>
    <x:row r="43" ht="34" customHeight="1">
      <x:c r="A43" s="5"/>
      <x:c r="B43" s="294" t="str">
        <x:v>Show related context</x:v>
      </x:c>
      <x:c r="C43" s="294"/>
      <x:c r="D43" s="294"/>
      <x:c r="E43" s="66" t="str">
        <x:v>Member, membership, account, Seller, transaction, payout, reward and case history.</x:v>
      </x:c>
      <x:c r="F43" s="66"/>
      <x:c r="G43" s="66"/>
      <x:c r="H43" s="66"/>
      <x:c r="I43" s="66"/>
      <x:c r="J43" s="66"/>
      <x:c r="K43" s="66"/>
      <x:c r="L43" s="5"/>
    </x:row>
    <x:row r="44" ht="34" customHeight="1">
      <x:c r="A44" s="5"/>
      <x:c r="B44" s="296" t="str">
        <x:v>Track SLA and ownership</x:v>
      </x:c>
      <x:c r="C44" s="296"/>
      <x:c r="D44" s="296"/>
      <x:c r="E44" s="76" t="str">
        <x:v>Every waiting period needs a responsible party and clock.</x:v>
      </x:c>
      <x:c r="F44" s="76"/>
      <x:c r="G44" s="76"/>
      <x:c r="H44" s="76"/>
      <x:c r="I44" s="76"/>
      <x:c r="J44" s="76"/>
      <x:c r="K44" s="76"/>
      <x:c r="L44" s="5"/>
    </x:row>
    <x:row r="45" ht="34" customHeight="1">
      <x:c r="A45" s="5"/>
      <x:c r="B45" s="294" t="str">
        <x:v>Allow safe exceptions</x:v>
      </x:c>
      <x:c r="C45" s="294"/>
      <x:c r="D45" s="294"/>
      <x:c r="E45" s="66" t="str">
        <x:v>Risk and complaint workflows need controlled variation—not hidden side work.</x:v>
      </x:c>
      <x:c r="F45" s="66"/>
      <x:c r="G45" s="66"/>
      <x:c r="H45" s="66"/>
      <x:c r="I45" s="66"/>
      <x:c r="J45" s="66"/>
      <x:c r="K45" s="66"/>
      <x:c r="L45" s="5"/>
    </x:row>
    <x:row r="46" ht="34" customHeight="1">
      <x:c r="A46" s="5"/>
      <x:c r="B46" s="296" t="str">
        <x:v>Close the loop</x:v>
      </x:c>
      <x:c r="C46" s="296"/>
      <x:c r="D46" s="296"/>
      <x:c r="E46" s="76" t="str">
        <x:v>Resolved cases should feed process and product improvement.</x:v>
      </x:c>
      <x:c r="F46" s="76"/>
      <x:c r="G46" s="76"/>
      <x:c r="H46" s="76"/>
      <x:c r="I46" s="76"/>
      <x:c r="J46" s="76"/>
      <x:c r="K46" s="76"/>
      <x:c r="L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</x:row>
    <x:row r="49" ht="31" customHeight="1">
      <x:c r="A49" s="5"/>
      <x:c r="B49" s="95" t="str">
        <x:v>Once event data exists, this workspace should show process variants, bottlenecks, rework and SLA breaches—not only average KPIs.</x:v>
      </x:c>
      <x:c r="C49" s="95"/>
      <x:c r="D49" s="95"/>
      <x:c r="E49" s="95"/>
      <x:c r="F49" s="95"/>
      <x:c r="G49" s="95"/>
      <x:c r="H49" s="95"/>
      <x:c r="I49" s="95"/>
      <x:c r="J49" s="95"/>
      <x:c r="K49" s="95"/>
      <x:c r="L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</x:row>
  </x:sheetData>
  <x:mergeCells>
    <x:mergeCell ref="B2:K2"/>
    <x:mergeCell ref="B3:K3"/>
    <x:mergeCell ref="B5:K5"/>
    <x:mergeCell ref="B7:K7"/>
    <x:mergeCell ref="B8:C8"/>
    <x:mergeCell ref="B9:C11"/>
    <x:mergeCell ref="D8:E8"/>
    <x:mergeCell ref="D9:E11"/>
    <x:mergeCell ref="F8:G8"/>
    <x:mergeCell ref="F9:G11"/>
    <x:mergeCell ref="H8:I8"/>
    <x:mergeCell ref="H9:I11"/>
    <x:mergeCell ref="J8:K8"/>
    <x:mergeCell ref="J9:K11"/>
    <x:mergeCell ref="B14:K14"/>
    <x:mergeCell ref="B16:C16"/>
    <x:mergeCell ref="D16:E16"/>
    <x:mergeCell ref="F16:G16"/>
    <x:mergeCell ref="H16:I16"/>
    <x:mergeCell ref="J16:K16"/>
    <x:mergeCell ref="B17:C17"/>
    <x:mergeCell ref="D17:E17"/>
    <x:mergeCell ref="F17:G17"/>
    <x:mergeCell ref="H17:I17"/>
    <x:mergeCell ref="J17:K17"/>
    <x:mergeCell ref="B18:C18"/>
    <x:mergeCell ref="D18:E18"/>
    <x:mergeCell ref="F18:G18"/>
    <x:mergeCell ref="H18:I18"/>
    <x:mergeCell ref="J18:K18"/>
    <x:mergeCell ref="B19:C19"/>
    <x:mergeCell ref="D19:E19"/>
    <x:mergeCell ref="F19:G19"/>
    <x:mergeCell ref="H19:I19"/>
    <x:mergeCell ref="J19:K19"/>
    <x:mergeCell ref="B20:C20"/>
    <x:mergeCell ref="D20:E20"/>
    <x:mergeCell ref="F20:G20"/>
    <x:mergeCell ref="H20:I20"/>
    <x:mergeCell ref="J20:K20"/>
    <x:mergeCell ref="B21:C21"/>
    <x:mergeCell ref="D21:E21"/>
    <x:mergeCell ref="F21:G21"/>
    <x:mergeCell ref="H21:I21"/>
    <x:mergeCell ref="J21:K21"/>
    <x:mergeCell ref="B22:C22"/>
    <x:mergeCell ref="D22:E22"/>
    <x:mergeCell ref="F22:G22"/>
    <x:mergeCell ref="H22:I22"/>
    <x:mergeCell ref="J22:K22"/>
    <x:mergeCell ref="B23:C23"/>
    <x:mergeCell ref="D23:E23"/>
    <x:mergeCell ref="F23:G23"/>
    <x:mergeCell ref="H23:I23"/>
    <x:mergeCell ref="J23:K23"/>
    <x:mergeCell ref="B24:C24"/>
    <x:mergeCell ref="D24:E24"/>
    <x:mergeCell ref="F24:G24"/>
    <x:mergeCell ref="H24:I24"/>
    <x:mergeCell ref="J24:K24"/>
    <x:mergeCell ref="B25:C25"/>
    <x:mergeCell ref="D25:E25"/>
    <x:mergeCell ref="F25:G25"/>
    <x:mergeCell ref="H25:I25"/>
    <x:mergeCell ref="J25:K25"/>
    <x:mergeCell ref="B29:K29"/>
    <x:mergeCell ref="B30:D30"/>
    <x:mergeCell ref="E30:K30"/>
    <x:mergeCell ref="B31:D31"/>
    <x:mergeCell ref="E31:K31"/>
    <x:mergeCell ref="B32:D32"/>
    <x:mergeCell ref="E32:K32"/>
    <x:mergeCell ref="B33:D33"/>
    <x:mergeCell ref="E33:K33"/>
    <x:mergeCell ref="B34:D34"/>
    <x:mergeCell ref="E34:K34"/>
    <x:mergeCell ref="B35:D35"/>
    <x:mergeCell ref="E35:K35"/>
    <x:mergeCell ref="B36:D36"/>
    <x:mergeCell ref="E36:K36"/>
    <x:mergeCell ref="B40:K40"/>
    <x:mergeCell ref="B41:D41"/>
    <x:mergeCell ref="E41:K41"/>
    <x:mergeCell ref="B42:D42"/>
    <x:mergeCell ref="E42:K42"/>
    <x:mergeCell ref="B43:D43"/>
    <x:mergeCell ref="E43:K43"/>
    <x:mergeCell ref="B44:D44"/>
    <x:mergeCell ref="E44:K44"/>
    <x:mergeCell ref="B45:D45"/>
    <x:mergeCell ref="E45:K45"/>
    <x:mergeCell ref="B46:D46"/>
    <x:mergeCell ref="E46:K46"/>
    <x:mergeCell ref="B49:K4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4" hidden="0" customWidth="1"/>
    <x:col min="3" max="3" width="21" hidden="0" customWidth="1"/>
    <x:col min="4" max="4" width="3" hidden="0" customWidth="1"/>
    <x:col min="5" max="5" width="21" hidden="0" customWidth="1"/>
    <x:col min="6" max="6" width="3" hidden="0" customWidth="1"/>
    <x:col min="7" max="7" width="21" hidden="0" customWidth="1"/>
    <x:col min="8" max="8" width="3" hidden="0" customWidth="1"/>
    <x:col min="9" max="9" width="21" hidden="0" customWidth="1"/>
    <x:col min="10" max="10" width="3" hidden="0" customWidth="1"/>
    <x:col min="11" max="11" width="35" hidden="0" customWidth="1"/>
    <x:col min="12" max="12" width="2.20000004768371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5"/>
      <x:c r="B2" s="12" t="str">
        <x:v>Economics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5"/>
    </x:row>
    <x:row r="3" ht="24" customHeight="1">
      <x:c r="A3" s="5"/>
      <x:c r="B3" s="18" t="str">
        <x:v>Customer value and company contribution by commercial engine and value stream.</x:v>
      </x:c>
      <x:c r="C3" s="18"/>
      <x:c r="D3" s="18"/>
      <x:c r="E3" s="18"/>
      <x:c r="F3" s="18"/>
      <x:c r="G3" s="18"/>
      <x:c r="H3" s="18"/>
      <x:c r="I3" s="18"/>
      <x:c r="J3" s="18"/>
      <x:c r="K3" s="18"/>
      <x:c r="L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31" customHeight="1">
      <x:c r="A5" s="5"/>
      <x:c r="B5" s="111" t="str">
        <x:v>All figures use the Command Center scenario and the selected Cost Center basis. Planning benchmarks are not contracted terms; missing rates remain excluded and visible.</x:v>
      </x:c>
      <x:c r="C5" s="111"/>
      <x:c r="D5" s="111"/>
      <x:c r="E5" s="111"/>
      <x:c r="F5" s="111"/>
      <x:c r="G5" s="111"/>
      <x:c r="H5" s="111"/>
      <x:c r="I5" s="111"/>
      <x:c r="J5" s="111"/>
      <x:c r="K5" s="111"/>
      <x:c r="L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</x:row>
    <x:row r="7" ht="24" customHeight="1">
      <x:c r="A7" s="5"/>
      <x:c r="B7" s="28" t="str">
        <x:v>Customer economics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5"/>
    </x:row>
    <x:row r="8" ht="25" customHeight="1">
      <x:c r="A8" s="5"/>
      <x:c r="B8" s="463" t="str">
        <x:v>YEARLY AMOUNT • USD</x:v>
      </x:c>
      <x:c r="C8" s="463"/>
      <x:c r="D8" s="463"/>
      <x:c r="E8" s="463"/>
      <x:c r="F8" s="463" t="str">
        <x:v>SELECT</x:v>
      </x:c>
      <x:c r="G8" s="463"/>
      <x:c r="H8" s="463"/>
      <x:c r="I8" s="463" t="str">
        <x:v>PREMIER</x:v>
      </x:c>
      <x:c r="J8" s="463"/>
      <x:c r="K8" s="463"/>
      <x:c r="L8" s="5"/>
    </x:row>
    <x:row r="9" ht="29" customHeight="1">
      <x:c r="A9" s="5"/>
      <x:c r="B9" s="329" t="str">
        <x:v>Membership</x:v>
      </x:c>
      <x:c r="C9" s="329"/>
      <x:c r="D9" s="329"/>
      <x:c r="E9" s="329"/>
      <x:c r="F9" s="380" t="n">
        <x:f>'Inputs'!F9</x:f>
        <x:v>120</x:v>
      </x:c>
      <x:c r="G9" s="380"/>
      <x:c r="H9" s="380"/>
      <x:c r="I9" s="380" t="n">
        <x:f>'Inputs'!I9</x:f>
        <x:v>300</x:v>
      </x:c>
      <x:c r="J9" s="380"/>
      <x:c r="K9" s="329"/>
      <x:c r="L9" s="5"/>
    </x:row>
    <x:row r="10" ht="29" customHeight="1">
      <x:c r="A10" s="5"/>
      <x:c r="B10" s="337" t="str">
        <x:v>Sales processing</x:v>
      </x:c>
      <x:c r="C10" s="337"/>
      <x:c r="D10" s="337"/>
      <x:c r="E10" s="337"/>
      <x:c r="F10" s="376" t="n">
        <x:f>'Model Engine'!F11</x:f>
        <x:v>3200</x:v>
      </x:c>
      <x:c r="G10" s="376"/>
      <x:c r="H10" s="376"/>
      <x:c r="I10" s="376" t="n">
        <x:f>'Model Engine'!F13</x:f>
        <x:v>2700</x:v>
      </x:c>
      <x:c r="J10" s="376"/>
      <x:c r="K10" s="337"/>
      <x:c r="L10" s="5"/>
    </x:row>
    <x:row r="11" ht="29" customHeight="1">
      <x:c r="A11" s="5"/>
      <x:c r="B11" s="329" t="str">
        <x:v>Everyday cashback</x:v>
      </x:c>
      <x:c r="C11" s="329"/>
      <x:c r="D11" s="329"/>
      <x:c r="E11" s="329"/>
      <x:c r="F11" s="380" t="n">
        <x:f>-'Model Engine'!F14</x:f>
        <x:v>-120</x:v>
      </x:c>
      <x:c r="G11" s="380"/>
      <x:c r="H11" s="380"/>
      <x:c r="I11" s="380" t="n">
        <x:f>-'Model Engine'!F15</x:f>
        <x:v>-120</x:v>
      </x:c>
      <x:c r="J11" s="380"/>
      <x:c r="K11" s="329"/>
      <x:c r="L11" s="5"/>
    </x:row>
    <x:row r="12" ht="29" customHeight="1">
      <x:c r="A12" s="5"/>
      <x:c r="B12" s="337" t="str">
        <x:v>Premier extra bonus</x:v>
      </x:c>
      <x:c r="C12" s="337"/>
      <x:c r="D12" s="337"/>
      <x:c r="E12" s="337"/>
      <x:c r="F12" s="376" t="n">
        <x:f>0</x:f>
        <x:v>0</x:v>
      </x:c>
      <x:c r="G12" s="376"/>
      <x:c r="H12" s="376"/>
      <x:c r="I12" s="376" t="n">
        <x:f>-'Model Engine'!F19</x:f>
        <x:v>-280</x:v>
      </x:c>
      <x:c r="J12" s="376"/>
      <x:c r="K12" s="337"/>
      <x:c r="L12" s="5"/>
    </x:row>
    <x:row r="13" ht="29" customHeight="1">
      <x:c r="A13" s="5"/>
      <x:c r="B13" s="344" t="str">
        <x:v>Net yearly customer cost</x:v>
      </x:c>
      <x:c r="C13" s="344"/>
      <x:c r="D13" s="344"/>
      <x:c r="E13" s="344"/>
      <x:c r="F13" s="348" t="n">
        <x:f>'Model Engine'!F22</x:f>
        <x:v>3200</x:v>
      </x:c>
      <x:c r="G13" s="348"/>
      <x:c r="H13" s="348"/>
      <x:c r="I13" s="348" t="n">
        <x:f>'Model Engine'!F23</x:f>
        <x:v>2600</x:v>
      </x:c>
      <x:c r="J13" s="348"/>
      <x:c r="K13" s="344"/>
      <x:c r="L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</x:row>
    <x:row r="16" ht="24" customHeight="1">
      <x:c r="A16" s="5"/>
      <x:c r="B16" s="28" t="str">
        <x:v>Company contribution by engine</x:v>
      </x:c>
      <x:c r="C16" s="28"/>
      <x:c r="D16" s="28"/>
      <x:c r="E16" s="28"/>
      <x:c r="F16" s="28"/>
      <x:c r="G16" s="28"/>
      <x:c r="H16" s="28"/>
      <x:c r="I16" s="28"/>
      <x:c r="J16" s="28"/>
      <x:c r="K16" s="28"/>
      <x:c r="L16" s="5"/>
    </x:row>
    <x:row r="17" ht="25" customHeight="1">
      <x:c r="A17" s="5"/>
      <x:c r="B17" s="463" t="str">
        <x:v>ENGINE</x:v>
      </x:c>
      <x:c r="C17" s="463"/>
      <x:c r="D17" s="463"/>
      <x:c r="E17" s="463"/>
      <x:c r="F17" s="463" t="str">
        <x:v>SELECT</x:v>
      </x:c>
      <x:c r="G17" s="463"/>
      <x:c r="H17" s="463"/>
      <x:c r="I17" s="463" t="str">
        <x:v>PREMIER</x:v>
      </x:c>
      <x:c r="J17" s="463"/>
      <x:c r="K17" s="463" t="str">
        <x:v>MANAGEMENT MEANING</x:v>
      </x:c>
      <x:c r="L17" s="5"/>
    </x:row>
    <x:row r="18" ht="38" customHeight="1">
      <x:c r="A18" s="5"/>
      <x:c r="B18" s="631" t="str">
        <x:v>Membership</x:v>
      </x:c>
      <x:c r="C18" s="631"/>
      <x:c r="D18" s="631"/>
      <x:c r="E18" s="631"/>
      <x:c r="F18" s="633" t="n">
        <x:f>'Model Engine'!F37</x:f>
        <x:v>74.18</x:v>
      </x:c>
      <x:c r="G18" s="633"/>
      <x:c r="H18" s="633"/>
      <x:c r="I18" s="633" t="n">
        <x:f>'Model Engine'!F38</x:f>
        <x:v>244.4</x:v>
      </x:c>
      <x:c r="J18" s="633"/>
      <x:c r="K18" s="631" t="str">
        <x:v>Membership fee less detailed membership cost</x:v>
      </x:c>
      <x:c r="L18" s="5"/>
    </x:row>
    <x:row r="19" ht="38" customHeight="1">
      <x:c r="A19" s="5"/>
      <x:c r="B19" s="636" t="str">
        <x:v>Get Paid • PayFac</x:v>
      </x:c>
      <x:c r="C19" s="636"/>
      <x:c r="D19" s="636"/>
      <x:c r="E19" s="636"/>
      <x:c r="F19" s="638" t="n">
        <x:f>'Model Engine'!F30</x:f>
        <x:v>603.938596491228</x:v>
      </x:c>
      <x:c r="G19" s="638"/>
      <x:c r="H19" s="638"/>
      <x:c r="I19" s="638" t="n">
        <x:f>'Model Engine'!F31</x:f>
        <x:v>-58.10307017543869</x:v>
      </x:c>
      <x:c r="J19" s="638"/>
      <x:c r="K19" s="636" t="str">
        <x:v>Processing after card-brand, bonus and PayFac rate-card costs</x:v>
      </x:c>
      <x:c r="L19" s="5"/>
    </x:row>
    <x:row r="20" ht="38" customHeight="1">
      <x:c r="A20" s="5"/>
      <x:c r="B20" s="631" t="str">
        <x:v>Pay &amp; Spend • Issuing</x:v>
      </x:c>
      <x:c r="C20" s="631"/>
      <x:c r="D20" s="631"/>
      <x:c r="E20" s="631"/>
      <x:c r="F20" s="633" t="n">
        <x:f>'Model Engine'!F35</x:f>
        <x:v>94.54771689497717</x:v>
      </x:c>
      <x:c r="G20" s="633"/>
      <x:c r="H20" s="633"/>
      <x:c r="I20" s="633" t="n">
        <x:f>'Model Engine'!F36</x:f>
        <x:v>-27.493949771689486</x:v>
      </x:c>
      <x:c r="J20" s="633"/>
      <x:c r="K20" s="631" t="str">
        <x:v>Issuer income after rewards and issuing rate-card costs</x:v>
      </x:c>
      <x:c r="L20" s="5"/>
    </x:row>
    <x:row r="21" ht="38" customHeight="1">
      <x:c r="A21" s="5"/>
      <x:c r="B21" s="636" t="str">
        <x:v>Shared &amp; partner costs</x:v>
      </x:c>
      <x:c r="C21" s="636"/>
      <x:c r="D21" s="636"/>
      <x:c r="E21" s="636"/>
      <x:c r="F21" s="638" t="n">
        <x:f>-'Model Engine'!F39</x:f>
        <x:v>-105.5</x:v>
      </x:c>
      <x:c r="G21" s="638"/>
      <x:c r="H21" s="638"/>
      <x:c r="I21" s="638" t="n">
        <x:f>-'Model Engine'!F44</x:f>
        <x:v>-105.5</x:v>
      </x:c>
      <x:c r="J21" s="638"/>
      <x:c r="K21" s="636" t="str">
        <x:v>Compliance, finance, technology and future partner costs</x:v>
      </x:c>
      <x:c r="L21" s="5"/>
    </x:row>
    <x:row r="22" ht="38" customHeight="1">
      <x:c r="A22" s="5"/>
      <x:c r="B22" s="640" t="str">
        <x:v>Total contribution</x:v>
      </x:c>
      <x:c r="C22" s="640"/>
      <x:c r="D22" s="640"/>
      <x:c r="E22" s="640"/>
      <x:c r="F22" s="642" t="n">
        <x:f>'Model Engine'!F40</x:f>
        <x:v>667.1663133862053</x:v>
      </x:c>
      <x:c r="G22" s="642"/>
      <x:c r="H22" s="642"/>
      <x:c r="I22" s="642" t="n">
        <x:f>'Model Engine'!F41</x:f>
        <x:v>53.30298005287182</x:v>
      </x:c>
      <x:c r="J22" s="642"/>
      <x:c r="K22" s="640" t="str">
        <x:v>Contribution after modeled costs; not final profit</x:v>
      </x:c>
      <x:c r="L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</x:row>
    <x:row r="25" ht="24" customHeight="1">
      <x:c r="A25" s="5"/>
      <x:c r="B25" s="28" t="str">
        <x:v>Premier value bridge</x:v>
      </x:c>
      <x:c r="C25" s="28"/>
      <x:c r="D25" s="28"/>
      <x:c r="E25" s="28"/>
      <x:c r="F25" s="28"/>
      <x:c r="G25" s="28"/>
      <x:c r="H25" s="28"/>
      <x:c r="I25" s="28"/>
      <x:c r="J25" s="28"/>
      <x:c r="K25" s="28"/>
      <x:c r="L25" s="5"/>
    </x:row>
    <x:row r="26">
      <x:c r="A26" s="5"/>
      <x:c r="B26" s="76" t="str">
        <x:v>Lower processing charges</x:v>
      </x:c>
      <x:c r="C26" s="76"/>
      <x:c r="D26" s="76"/>
      <x:c r="E26" s="76"/>
      <x:c r="F26" s="76"/>
      <x:c r="G26" s="76"/>
      <x:c r="H26" s="376" t="n">
        <x:f>'Model Engine'!F11-'Model Engine'!F13</x:f>
        <x:v>500</x:v>
      </x:c>
      <x:c r="I26" s="376"/>
      <x:c r="J26" s="376"/>
      <x:c r="K26" s="76"/>
      <x:c r="L26" s="5"/>
    </x:row>
    <x:row r="27">
      <x:c r="A27" s="5"/>
      <x:c r="B27" s="66" t="str">
        <x:v>Same everyday cashback</x:v>
      </x:c>
      <x:c r="C27" s="66"/>
      <x:c r="D27" s="66"/>
      <x:c r="E27" s="66"/>
      <x:c r="F27" s="66"/>
      <x:c r="G27" s="66"/>
      <x:c r="H27" s="380" t="n">
        <x:f>'Model Engine'!F15-'Model Engine'!F14</x:f>
        <x:v>0</x:v>
      </x:c>
      <x:c r="I27" s="380"/>
      <x:c r="J27" s="380"/>
      <x:c r="K27" s="66"/>
      <x:c r="L27" s="5"/>
    </x:row>
    <x:row r="28">
      <x:c r="A28" s="5"/>
      <x:c r="B28" s="76" t="str">
        <x:v>Extra Premier bonus</x:v>
      </x:c>
      <x:c r="C28" s="76"/>
      <x:c r="D28" s="76"/>
      <x:c r="E28" s="76"/>
      <x:c r="F28" s="76"/>
      <x:c r="G28" s="76"/>
      <x:c r="H28" s="376" t="n">
        <x:f>'Model Engine'!F19</x:f>
        <x:v>280</x:v>
      </x:c>
      <x:c r="I28" s="376"/>
      <x:c r="J28" s="376"/>
      <x:c r="K28" s="76"/>
      <x:c r="L28" s="5"/>
    </x:row>
    <x:row r="29">
      <x:c r="A29" s="5"/>
      <x:c r="B29" s="66" t="str">
        <x:v>Higher membership fee</x:v>
      </x:c>
      <x:c r="C29" s="66"/>
      <x:c r="D29" s="66"/>
      <x:c r="E29" s="66"/>
      <x:c r="F29" s="66"/>
      <x:c r="G29" s="66"/>
      <x:c r="H29" s="380" t="n">
        <x:f>-('Inputs'!I9-'Inputs'!F9)</x:f>
        <x:v>-180</x:v>
      </x:c>
      <x:c r="I29" s="380"/>
      <x:c r="J29" s="380"/>
      <x:c r="K29" s="66"/>
      <x:c r="L29" s="5"/>
    </x:row>
    <x:row r="30">
      <x:c r="A30" s="5"/>
      <x:c r="B30" s="383" t="str">
        <x:v>Customer value difference</x:v>
      </x:c>
      <x:c r="C30" s="383"/>
      <x:c r="D30" s="383"/>
      <x:c r="E30" s="383"/>
      <x:c r="F30" s="383"/>
      <x:c r="G30" s="383"/>
      <x:c r="H30" s="384" t="n">
        <x:f>'Model Engine'!F24</x:f>
        <x:v>600</x:v>
      </x:c>
      <x:c r="I30" s="384"/>
      <x:c r="J30" s="384"/>
      <x:c r="K30" s="383"/>
      <x:c r="L30" s="5"/>
    </x:row>
    <x:row r="31">
      <x:c r="A31" s="5"/>
      <x:c r="B31" s="344" t="str">
        <x:v>Company contribution change</x:v>
      </x:c>
      <x:c r="C31" s="344"/>
      <x:c r="D31" s="344"/>
      <x:c r="E31" s="344"/>
      <x:c r="F31" s="344"/>
      <x:c r="G31" s="344"/>
      <x:c r="H31" s="348" t="n">
        <x:f>'Model Engine'!F42</x:f>
        <x:v>-613.8633333333335</x:v>
      </x:c>
      <x:c r="I31" s="348"/>
      <x:c r="J31" s="348"/>
      <x:c r="K31" s="344"/>
      <x:c r="L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</x:row>
    <x:row r="35" ht="24" customHeight="1">
      <x:c r="A35" s="5"/>
      <x:c r="B35" s="459" t="str">
        <x:v>Modeled operating cost</x:v>
      </x:c>
      <x:c r="C35" s="459"/>
      <x:c r="D35" s="459"/>
      <x:c r="E35" s="459"/>
      <x:c r="F35" s="459"/>
      <x:c r="G35" s="459"/>
      <x:c r="H35" s="459"/>
      <x:c r="I35" s="459"/>
      <x:c r="J35" s="459"/>
      <x:c r="K35" s="459"/>
      <x:c r="L35" s="5"/>
    </x:row>
    <x:row r="36" ht="38" customHeight="1">
      <x:c r="A36" s="5"/>
      <x:c r="B36" s="463" t="str">
        <x:v>ENGINE</x:v>
      </x:c>
      <x:c r="C36" s="463"/>
      <x:c r="D36" s="463"/>
      <x:c r="E36" s="463"/>
      <x:c r="F36" s="463" t="str">
        <x:v>SELECT</x:v>
      </x:c>
      <x:c r="G36" s="463"/>
      <x:c r="H36" s="463"/>
      <x:c r="I36" s="463" t="str">
        <x:v>PREMIER</x:v>
      </x:c>
      <x:c r="J36" s="463"/>
      <x:c r="K36" s="463" t="str">
        <x:v>WHAT MANAGEMENT SHOULD KNOW</x:v>
      </x:c>
      <x:c r="L36" s="5"/>
    </x:row>
    <x:row r="37" ht="38" customHeight="1">
      <x:c r="A37" s="5"/>
      <x:c r="B37" s="636" t="str">
        <x:v>Membership</x:v>
      </x:c>
      <x:c r="C37" s="636"/>
      <x:c r="D37" s="636"/>
      <x:c r="E37" s="636"/>
      <x:c r="F37" s="638" t="n">
        <x:f>'Cost Center'!F17</x:f>
        <x:v>45.82</x:v>
      </x:c>
      <x:c r="G37" s="638"/>
      <x:c r="H37" s="638"/>
      <x:c r="I37" s="638" t="n">
        <x:f>'Cost Center'!I17</x:f>
        <x:v>55.6</x:v>
      </x:c>
      <x:c r="J37" s="638"/>
      <x:c r="K37" s="636" t="str">
        <x:v>Billing, member support, household servicing and membership technology.</x:v>
      </x:c>
      <x:c r="L37" s="5"/>
    </x:row>
    <x:row r="38" ht="38" customHeight="1">
      <x:c r="A38" s="5"/>
      <x:c r="B38" s="631" t="str">
        <x:v>PayFac</x:v>
      </x:c>
      <x:c r="C38" s="631"/>
      <x:c r="D38" s="631"/>
      <x:c r="E38" s="631"/>
      <x:c r="F38" s="633" t="n">
        <x:f>'Cost Center'!F18</x:f>
        <x:v>696.061403508772</x:v>
      </x:c>
      <x:c r="G38" s="633"/>
      <x:c r="H38" s="633"/>
      <x:c r="I38" s="633" t="n">
        <x:f>'Cost Center'!I18</x:f>
        <x:v>698.1030701754387</x:v>
      </x:c>
      <x:c r="J38" s="633"/>
      <x:c r="K38" s="631" t="str">
        <x:v>Processor, payouts, underwriting, risk, seller support and payment operations.</x:v>
      </x:c>
      <x:c r="L38" s="5"/>
    </x:row>
    <x:row r="39" ht="38" customHeight="1">
      <x:c r="A39" s="5"/>
      <x:c r="B39" s="636" t="str">
        <x:v>Issuing</x:v>
      </x:c>
      <x:c r="C39" s="636"/>
      <x:c r="D39" s="636"/>
      <x:c r="E39" s="636"/>
      <x:c r="F39" s="638" t="n">
        <x:f>'Cost Center'!F19</x:f>
        <x:v>121.45228310502283</x:v>
      </x:c>
      <x:c r="G39" s="638"/>
      <x:c r="H39" s="638"/>
      <x:c r="I39" s="638" t="n">
        <x:f>'Cost Center'!I19</x:f>
        <x:v>123.49394977168949</x:v>
      </x:c>
      <x:c r="J39" s="638"/>
      <x:c r="K39" s="636" t="str">
        <x:v>Funding, processor, credentials, account servicing, fraud/loss and disputes.</x:v>
      </x:c>
      <x:c r="L39" s="5"/>
    </x:row>
    <x:row r="40" ht="38" customHeight="1">
      <x:c r="A40" s="5"/>
      <x:c r="B40" s="631" t="str">
        <x:v>Shared</x:v>
      </x:c>
      <x:c r="C40" s="631"/>
      <x:c r="D40" s="631"/>
      <x:c r="E40" s="631"/>
      <x:c r="F40" s="633" t="n">
        <x:f>'Cost Center'!F20</x:f>
        <x:v>105.5</x:v>
      </x:c>
      <x:c r="G40" s="633"/>
      <x:c r="H40" s="633"/>
      <x:c r="I40" s="633" t="n">
        <x:f>'Cost Center'!I20</x:f>
        <x:v>105.5</x:v>
      </x:c>
      <x:c r="J40" s="633"/>
      <x:c r="K40" s="631" t="str">
        <x:v>Compliance, finance, data, CRM, workflow, ERP, security and shared operations.</x:v>
      </x:c>
      <x:c r="L40" s="5"/>
    </x:row>
    <x:row r="41" ht="38" customHeight="1">
      <x:c r="A41" s="5"/>
      <x:c r="B41" s="636" t="str">
        <x:v>Partner</x:v>
      </x:c>
      <x:c r="C41" s="636"/>
      <x:c r="D41" s="636"/>
      <x:c r="E41" s="636"/>
      <x:c r="F41" s="638" t="n">
        <x:f>'Cost Center'!F21</x:f>
        <x:v>0</x:v>
      </x:c>
      <x:c r="G41" s="638"/>
      <x:c r="H41" s="638"/>
      <x:c r="I41" s="638" t="n">
        <x:f>'Cost Center'!I21</x:f>
        <x:v>0</x:v>
      </x:c>
      <x:c r="J41" s="638"/>
      <x:c r="K41" s="636" t="str">
        <x:v>Future referral, reseller, co-brand and wholesale-program costs.</x:v>
      </x:c>
      <x:c r="L41" s="5"/>
    </x:row>
    <x:row r="42" ht="38" customHeight="1">
      <x:c r="A42" s="5"/>
      <x:c r="B42" s="640" t="str">
        <x:v>Total operating cost</x:v>
      </x:c>
      <x:c r="C42" s="640"/>
      <x:c r="D42" s="640"/>
      <x:c r="E42" s="640"/>
      <x:c r="F42" s="642" t="n">
        <x:f>'Cost Center'!F22</x:f>
        <x:v>968.8336866137948</x:v>
      </x:c>
      <x:c r="G42" s="642"/>
      <x:c r="H42" s="642"/>
      <x:c r="I42" s="642" t="n">
        <x:f>'Cost Center'!I22</x:f>
        <x:v>982.6970199471282</x:v>
      </x:c>
      <x:c r="J42" s="642"/>
      <x:c r="K42" s="640" t="str">
        <x:v>All enabled rate-card costs under the selected basis.</x:v>
      </x:c>
      <x:c r="L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</x:row>
    <x:row r="45">
      <x:c r="A45" s="5"/>
      <x:c r="B45" s="459" t="str">
        <x:v>Cost model status</x:v>
      </x:c>
      <x:c r="C45" s="459"/>
      <x:c r="D45" s="459"/>
      <x:c r="E45" s="459"/>
      <x:c r="F45" s="459"/>
      <x:c r="G45" s="459"/>
      <x:c r="H45" s="459"/>
      <x:c r="I45" s="459"/>
      <x:c r="J45" s="459"/>
      <x:c r="K45" s="459"/>
      <x:c r="L45" s="5"/>
    </x:row>
    <x:row r="46" ht="30" customHeight="1">
      <x:c r="A46" s="5"/>
      <x:c r="B46" s="623" t="str">
        <x:v>Model basis</x:v>
      </x:c>
      <x:c r="C46" s="623"/>
      <x:c r="D46" s="623"/>
      <x:c r="E46" s="623"/>
      <x:c r="F46" s="660" t="str">
        <x:f>'Cost Center'!F5</x:f>
        <x:v>Planning</x:v>
      </x:c>
      <x:c r="G46" s="660"/>
      <x:c r="H46" s="623" t="str">
        <x:v>Planning, Contracted or Actual</x:v>
      </x:c>
      <x:c r="I46" s="623"/>
      <x:c r="J46" s="623"/>
      <x:c r="K46" s="623"/>
      <x:c r="L46" s="5"/>
    </x:row>
    <x:row r="47" ht="30" customHeight="1">
      <x:c r="A47" s="5"/>
      <x:c r="B47" s="626" t="str">
        <x:v>Cost completeness</x:v>
      </x:c>
      <x:c r="C47" s="626"/>
      <x:c r="D47" s="626"/>
      <x:c r="E47" s="626"/>
      <x:c r="F47" s="661" t="n">
        <x:f>'Cost Center'!F27</x:f>
        <x:v>0.5833333333333333</x:v>
      </x:c>
      <x:c r="G47" s="661"/>
      <x:c r="H47" s="626" t="str">
        <x:v>Enabled rate-card lines with active rates</x:v>
      </x:c>
      <x:c r="I47" s="626"/>
      <x:c r="J47" s="626"/>
      <x:c r="K47" s="626"/>
      <x:c r="L47" s="5"/>
    </x:row>
    <x:row r="48" ht="30" customHeight="1">
      <x:c r="A48" s="5"/>
      <x:c r="B48" s="623" t="str">
        <x:v>Missing rate-card lines</x:v>
      </x:c>
      <x:c r="C48" s="623"/>
      <x:c r="D48" s="623"/>
      <x:c r="E48" s="623"/>
      <x:c r="F48" s="662" t="n">
        <x:f>'Cost Center'!F28</x:f>
        <x:v>25</x:v>
      </x:c>
      <x:c r="G48" s="662"/>
      <x:c r="H48" s="623" t="str">
        <x:v>Unpriced costs remain excluded</x:v>
      </x:c>
      <x:c r="I48" s="623"/>
      <x:c r="J48" s="623"/>
      <x:c r="K48" s="623"/>
      <x:c r="L48" s="5"/>
    </x:row>
    <x:row r="49" ht="30" customHeight="1">
      <x:c r="A49" s="5"/>
      <x:c r="B49" s="626" t="str">
        <x:v>Planning rate lines</x:v>
      </x:c>
      <x:c r="C49" s="626"/>
      <x:c r="D49" s="626"/>
      <x:c r="E49" s="626"/>
      <x:c r="F49" s="709" t="n">
        <x:f>'Cost Center'!F29</x:f>
        <x:v>35</x:v>
      </x:c>
      <x:c r="G49" s="709"/>
      <x:c r="H49" s="626" t="str">
        <x:v>Public benchmarks and management assumptions</x:v>
      </x:c>
      <x:c r="I49" s="626"/>
      <x:c r="J49" s="626"/>
      <x:c r="K49" s="626"/>
      <x:c r="L49" s="5"/>
    </x:row>
    <x:row r="50" ht="30" customHeight="1">
      <x:c r="A50" s="5"/>
      <x:c r="B50" s="623" t="str">
        <x:v>Contracted rate lines</x:v>
      </x:c>
      <x:c r="C50" s="623"/>
      <x:c r="D50" s="623"/>
      <x:c r="E50" s="623"/>
      <x:c r="F50" s="662" t="n">
        <x:f>'Cost Center'!F30</x:f>
        <x:v>0</x:v>
      </x:c>
      <x:c r="G50" s="662"/>
      <x:c r="H50" s="623" t="str">
        <x:v>Signed supplier or internal transfer rates</x:v>
      </x:c>
      <x:c r="I50" s="623"/>
      <x:c r="J50" s="623"/>
      <x:c r="K50" s="623"/>
      <x:c r="L50" s="5"/>
    </x:row>
    <x:row r="51" ht="30" customHeight="1">
      <x:c r="A51" s="5"/>
      <x:c r="B51" s="626" t="str">
        <x:v>Actual rate lines</x:v>
      </x:c>
      <x:c r="C51" s="626"/>
      <x:c r="D51" s="626"/>
      <x:c r="E51" s="626"/>
      <x:c r="F51" s="709" t="n">
        <x:f>'Cost Center'!F31</x:f>
        <x:v>0</x:v>
      </x:c>
      <x:c r="G51" s="709"/>
      <x:c r="H51" s="626" t="str">
        <x:v>Observed actual rates</x:v>
      </x:c>
      <x:c r="I51" s="626"/>
      <x:c r="J51" s="626"/>
      <x:c r="K51" s="626"/>
      <x:c r="L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</x:row>
  </x:sheetData>
  <x:mergeCells>
    <x:mergeCell ref="B2:K2"/>
    <x:mergeCell ref="B3:K3"/>
    <x:mergeCell ref="B5:K5"/>
    <x:mergeCell ref="B7:K7"/>
    <x:mergeCell ref="B16:K16"/>
    <x:mergeCell ref="B25:K25"/>
    <x:mergeCell ref="B26:F26"/>
    <x:mergeCell ref="H26:J26"/>
    <x:mergeCell ref="B27:F27"/>
    <x:mergeCell ref="H27:J27"/>
    <x:mergeCell ref="B28:F28"/>
    <x:mergeCell ref="H28:J28"/>
    <x:mergeCell ref="B29:F29"/>
    <x:mergeCell ref="H29:J29"/>
    <x:mergeCell ref="B30:F30"/>
    <x:mergeCell ref="H30:J30"/>
    <x:mergeCell ref="B31:F31"/>
    <x:mergeCell ref="H31:J31"/>
    <x:mergeCell ref="B35:K35"/>
    <x:mergeCell ref="B45:K45"/>
    <x:mergeCell ref="B8:E8"/>
    <x:mergeCell ref="F8:G8"/>
    <x:mergeCell ref="I8:J8"/>
    <x:mergeCell ref="B9:E9"/>
    <x:mergeCell ref="F9:G9"/>
    <x:mergeCell ref="I9:J9"/>
    <x:mergeCell ref="B10:E10"/>
    <x:mergeCell ref="F10:G10"/>
    <x:mergeCell ref="I10:J10"/>
    <x:mergeCell ref="B11:E11"/>
    <x:mergeCell ref="F11:G11"/>
    <x:mergeCell ref="I11:J11"/>
    <x:mergeCell ref="B12:E12"/>
    <x:mergeCell ref="F12:G12"/>
    <x:mergeCell ref="I12:J12"/>
    <x:mergeCell ref="B13:E13"/>
    <x:mergeCell ref="F13:G13"/>
    <x:mergeCell ref="I13:J13"/>
    <x:mergeCell ref="B17:E17"/>
    <x:mergeCell ref="F17:G17"/>
    <x:mergeCell ref="I17:J17"/>
    <x:mergeCell ref="B18:E18"/>
    <x:mergeCell ref="F18:G18"/>
    <x:mergeCell ref="I18:J18"/>
    <x:mergeCell ref="B19:E19"/>
    <x:mergeCell ref="F19:G19"/>
    <x:mergeCell ref="I19:J19"/>
    <x:mergeCell ref="B20:E20"/>
    <x:mergeCell ref="F20:G20"/>
    <x:mergeCell ref="I20:J20"/>
    <x:mergeCell ref="B21:E21"/>
    <x:mergeCell ref="F21:G21"/>
    <x:mergeCell ref="I21:J21"/>
    <x:mergeCell ref="B22:E22"/>
    <x:mergeCell ref="F22:G22"/>
    <x:mergeCell ref="I22:J22"/>
    <x:mergeCell ref="B36:E36"/>
    <x:mergeCell ref="F36:G36"/>
    <x:mergeCell ref="I36:J36"/>
    <x:mergeCell ref="B37:E37"/>
    <x:mergeCell ref="F37:G37"/>
    <x:mergeCell ref="I37:J37"/>
    <x:mergeCell ref="B38:E38"/>
    <x:mergeCell ref="F38:G38"/>
    <x:mergeCell ref="I38:J38"/>
    <x:mergeCell ref="B39:E39"/>
    <x:mergeCell ref="F39:G39"/>
    <x:mergeCell ref="I39:J39"/>
    <x:mergeCell ref="B40:E40"/>
    <x:mergeCell ref="F40:G40"/>
    <x:mergeCell ref="I40:J40"/>
    <x:mergeCell ref="B41:E41"/>
    <x:mergeCell ref="F41:G41"/>
    <x:mergeCell ref="I41:J41"/>
    <x:mergeCell ref="B42:E42"/>
    <x:mergeCell ref="F42:G42"/>
    <x:mergeCell ref="I42:J42"/>
    <x:mergeCell ref="B46:E46"/>
    <x:mergeCell ref="F46:G46"/>
    <x:mergeCell ref="H46:K46"/>
    <x:mergeCell ref="B47:E47"/>
    <x:mergeCell ref="F47:G47"/>
    <x:mergeCell ref="H47:K47"/>
    <x:mergeCell ref="B48:E48"/>
    <x:mergeCell ref="F48:G48"/>
    <x:mergeCell ref="H48:K48"/>
    <x:mergeCell ref="B49:E49"/>
    <x:mergeCell ref="F49:G49"/>
    <x:mergeCell ref="H49:K49"/>
    <x:mergeCell ref="B50:E50"/>
    <x:mergeCell ref="F50:G50"/>
    <x:mergeCell ref="H50:K50"/>
    <x:mergeCell ref="B51:E51"/>
    <x:mergeCell ref="F51:G51"/>
    <x:mergeCell ref="H51:K5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5" hidden="0" customWidth="1"/>
    <x:col min="3" max="3" width="21" hidden="0" customWidth="1"/>
    <x:col min="4" max="4" width="3" hidden="0" customWidth="1"/>
    <x:col min="5" max="5" width="21" hidden="0" customWidth="1"/>
    <x:col min="6" max="6" width="3" hidden="0" customWidth="1"/>
    <x:col min="7" max="7" width="21" hidden="0" customWidth="1"/>
    <x:col min="8" max="8" width="3" hidden="0" customWidth="1"/>
    <x:col min="9" max="9" width="21" hidden="0" customWidth="1"/>
    <x:col min="10" max="10" width="3" hidden="0" customWidth="1"/>
    <x:col min="11" max="11" width="21" hidden="0" customWidth="1"/>
    <x:col min="12" max="12" width="2.20000004768371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5"/>
      <x:c r="B2" s="12" t="str">
        <x:v>PayFac Detail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5"/>
    </x:row>
    <x:row r="3" ht="24" customHeight="1">
      <x:c r="A3" s="5"/>
      <x:c r="B3" s="18" t="str">
        <x:v>End-to-end Get Paid workflow, product depth, controls and economics.</x:v>
      </x:c>
      <x:c r="C3" s="18"/>
      <x:c r="D3" s="18"/>
      <x:c r="E3" s="18"/>
      <x:c r="F3" s="18"/>
      <x:c r="G3" s="18"/>
      <x:c r="H3" s="18"/>
      <x:c r="I3" s="18"/>
      <x:c r="J3" s="18"/>
      <x:c r="K3" s="18"/>
      <x:c r="L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31" customHeight="1">
      <x:c r="A5" s="5"/>
      <x:c r="B5" s="111" t="str">
        <x:v>Quick Sell, household-assisted selling and full Seller acceptance use the same core payment infrastructure at different levels of complexity.</x:v>
      </x:c>
      <x:c r="C5" s="111"/>
      <x:c r="D5" s="111"/>
      <x:c r="E5" s="111"/>
      <x:c r="F5" s="111"/>
      <x:c r="G5" s="111"/>
      <x:c r="H5" s="111"/>
      <x:c r="I5" s="111"/>
      <x:c r="J5" s="111"/>
      <x:c r="K5" s="111"/>
      <x:c r="L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</x:row>
    <x:row r="7" ht="24" customHeight="1">
      <x:c r="A7" s="5"/>
      <x:c r="B7" s="28" t="str">
        <x:v>Get Paid playbook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5"/>
    </x:row>
    <x:row r="8" ht="34" customHeight="1">
      <x:c r="A8" s="5"/>
      <x:c r="B8" s="276" t="str">
        <x:v>1. Request</x:v>
      </x:c>
      <x:c r="C8" s="276"/>
      <x:c r="D8" s="276"/>
      <x:c r="E8" s="76" t="str">
        <x:v>Member chooses Quick Sell or Full Seller.</x:v>
      </x:c>
      <x:c r="F8" s="76"/>
      <x:c r="G8" s="76"/>
      <x:c r="H8" s="76"/>
      <x:c r="I8" s="76"/>
      <x:c r="J8" s="76"/>
      <x:c r="K8" s="76"/>
      <x:c r="L8" s="5"/>
    </x:row>
    <x:row r="9" ht="34" customHeight="1">
      <x:c r="A9" s="5"/>
      <x:c r="B9" s="278" t="str">
        <x:v>2. Identify Seller</x:v>
      </x:c>
      <x:c r="C9" s="278"/>
      <x:c r="D9" s="278"/>
      <x:c r="E9" s="66" t="str">
        <x:v>Confirm the responsible person or business and payout owner.</x:v>
      </x:c>
      <x:c r="F9" s="66"/>
      <x:c r="G9" s="66"/>
      <x:c r="H9" s="66"/>
      <x:c r="I9" s="66"/>
      <x:c r="J9" s="66"/>
      <x:c r="K9" s="66"/>
      <x:c r="L9" s="5"/>
    </x:row>
    <x:row r="10" ht="34" customHeight="1">
      <x:c r="A10" s="5"/>
      <x:c r="B10" s="276" t="str">
        <x:v>3. Verify &amp; Underwrite</x:v>
      </x:c>
      <x:c r="C10" s="276"/>
      <x:c r="D10" s="276"/>
      <x:c r="E10" s="76" t="str">
        <x:v>Complete KYC/KYB, activity review, sanctions and risk checks.</x:v>
      </x:c>
      <x:c r="F10" s="76"/>
      <x:c r="G10" s="76"/>
      <x:c r="H10" s="76"/>
      <x:c r="I10" s="76"/>
      <x:c r="J10" s="76"/>
      <x:c r="K10" s="76"/>
      <x:c r="L10" s="5"/>
    </x:row>
    <x:row r="11" ht="34" customHeight="1">
      <x:c r="A11" s="5"/>
      <x:c r="B11" s="278" t="str">
        <x:v>4. Configure</x:v>
      </x:c>
      <x:c r="C11" s="278"/>
      <x:c r="D11" s="278"/>
      <x:c r="E11" s="66" t="str">
        <x:v>Enable channels, methods, descriptors, limits and payout schedule.</x:v>
      </x:c>
      <x:c r="F11" s="66"/>
      <x:c r="G11" s="66"/>
      <x:c r="H11" s="66"/>
      <x:c r="I11" s="66"/>
      <x:c r="J11" s="66"/>
      <x:c r="K11" s="66"/>
      <x:c r="L11" s="5"/>
    </x:row>
    <x:row r="12" ht="34" customHeight="1">
      <x:c r="A12" s="5"/>
      <x:c r="B12" s="276" t="str">
        <x:v>5. Accept</x:v>
      </x:c>
      <x:c r="C12" s="276"/>
      <x:c r="D12" s="276"/>
      <x:c r="E12" s="76" t="str">
        <x:v>Authorize, capture and record the customer payment.</x:v>
      </x:c>
      <x:c r="F12" s="76"/>
      <x:c r="G12" s="76"/>
      <x:c r="H12" s="76"/>
      <x:c r="I12" s="76"/>
      <x:c r="J12" s="76"/>
      <x:c r="K12" s="76"/>
      <x:c r="L12" s="5"/>
    </x:row>
    <x:row r="13" ht="34" customHeight="1">
      <x:c r="A13" s="5"/>
      <x:c r="B13" s="278" t="str">
        <x:v>6. Settle &amp; Payout</x:v>
      </x:c>
      <x:c r="C13" s="278"/>
      <x:c r="D13" s="278"/>
      <x:c r="E13" s="66" t="str">
        <x:v>Pay network/processor costs and move available funds.</x:v>
      </x:c>
      <x:c r="F13" s="66"/>
      <x:c r="G13" s="66"/>
      <x:c r="H13" s="66"/>
      <x:c r="I13" s="66"/>
      <x:c r="J13" s="66"/>
      <x:c r="K13" s="66"/>
      <x:c r="L13" s="5"/>
    </x:row>
    <x:row r="14" ht="34" customHeight="1">
      <x:c r="A14" s="5"/>
      <x:c r="B14" s="276" t="str">
        <x:v>7. Support &amp; Reconcile</x:v>
      </x:c>
      <x:c r="C14" s="276"/>
      <x:c r="D14" s="276"/>
      <x:c r="E14" s="76" t="str">
        <x:v>Handle refunds, disputes, payout issues and accounting records.</x:v>
      </x:c>
      <x:c r="F14" s="76"/>
      <x:c r="G14" s="76"/>
      <x:c r="H14" s="76"/>
      <x:c r="I14" s="76"/>
      <x:c r="J14" s="76"/>
      <x:c r="K14" s="76"/>
      <x:c r="L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</x:row>
    <x:row r="18" ht="24" customHeight="1">
      <x:c r="A18" s="5"/>
      <x:c r="B18" s="28" t="str">
        <x:v>Product depth by workspace</x:v>
      </x:c>
      <x:c r="C18" s="28"/>
      <x:c r="D18" s="28"/>
      <x:c r="E18" s="28"/>
      <x:c r="F18" s="28"/>
      <x:c r="G18" s="28"/>
      <x:c r="H18" s="28"/>
      <x:c r="I18" s="28"/>
      <x:c r="J18" s="28"/>
      <x:c r="K18" s="28"/>
      <x:c r="L18" s="5"/>
    </x:row>
    <x:row r="19" ht="25" customHeight="1">
      <x:c r="A19" s="5"/>
      <x:c r="B19" s="35" t="str">
        <x:v>CAPABILITY</x:v>
      </x:c>
      <x:c r="C19" s="35"/>
      <x:c r="D19" s="35" t="str">
        <x:v>PERSONAL</x:v>
      </x:c>
      <x:c r="E19" s="35"/>
      <x:c r="F19" s="35" t="str">
        <x:v>HOUSEHOLD</x:v>
      </x:c>
      <x:c r="G19" s="35"/>
      <x:c r="H19" s="35" t="str">
        <x:v>SELLER</x:v>
      </x:c>
      <x:c r="I19" s="35"/>
      <x:c r="J19" s="35" t="str">
        <x:v>CONTROL / COST EFFECT</x:v>
      </x:c>
      <x:c r="K19" s="35"/>
      <x:c r="L19" s="5"/>
    </x:row>
    <x:row r="20" ht="48" customHeight="1">
      <x:c r="A20" s="5"/>
      <x:c r="B20" s="388" t="str">
        <x:v>Customer use</x:v>
      </x:c>
      <x:c r="C20" s="388"/>
      <x:c r="D20" s="5" t="str">
        <x:v>Own occasional sale</x:v>
      </x:c>
      <x:c r="E20" s="5"/>
      <x:c r="F20" s="5" t="str">
        <x:v>Help a named member sell</x:v>
      </x:c>
      <x:c r="G20" s="5"/>
      <x:c r="H20" s="5" t="str">
        <x:v>Ongoing commerce</x:v>
      </x:c>
      <x:c r="I20" s="5"/>
      <x:c r="J20" s="5" t="str">
        <x:v>Higher depth increases support, risk and vendor cost</x:v>
      </x:c>
      <x:c r="K20" s="5"/>
      <x:c r="L20" s="5"/>
    </x:row>
    <x:row r="21" ht="48" customHeight="1">
      <x:c r="A21" s="5"/>
      <x:c r="B21" s="390" t="str">
        <x:v>Collection tools</x:v>
      </x:c>
      <x:c r="C21" s="390"/>
      <x:c r="D21" s="52" t="str">
        <x:v>Link or QR</x:v>
      </x:c>
      <x:c r="E21" s="52"/>
      <x:c r="F21" s="52" t="str">
        <x:v>Share approved links</x:v>
      </x:c>
      <x:c r="G21" s="52"/>
      <x:c r="H21" s="52" t="str">
        <x:v>Links, invoices, recurring, checkout, Tap to Pay/POS</x:v>
      </x:c>
      <x:c r="I21" s="52"/>
      <x:c r="J21" s="52" t="str">
        <x:v>Method and channel fees differ</x:v>
      </x:c>
      <x:c r="K21" s="52"/>
      <x:c r="L21" s="5"/>
    </x:row>
    <x:row r="22" ht="48" customHeight="1">
      <x:c r="A22" s="5"/>
      <x:c r="B22" s="388" t="str">
        <x:v>Payout owner</x:v>
      </x:c>
      <x:c r="C22" s="388"/>
      <x:c r="D22" s="5" t="str">
        <x:v>Approved individual</x:v>
      </x:c>
      <x:c r="E22" s="5"/>
      <x:c r="F22" s="5" t="str">
        <x:v>Named Seller</x:v>
      </x:c>
      <x:c r="G22" s="5"/>
      <x:c r="H22" s="5" t="str">
        <x:v>Approved individual or business</x:v>
      </x:c>
      <x:c r="I22" s="5"/>
      <x:c r="J22" s="5" t="str">
        <x:v>Household is not an anonymous merchant</x:v>
      </x:c>
      <x:c r="K22" s="5"/>
      <x:c r="L22" s="5"/>
    </x:row>
    <x:row r="23" ht="48" customHeight="1">
      <x:c r="A23" s="5"/>
      <x:c r="B23" s="390" t="str">
        <x:v>Refunds &amp; disputes</x:v>
      </x:c>
      <x:c r="C23" s="390"/>
      <x:c r="D23" s="52" t="str">
        <x:v>Guided basic flow</x:v>
      </x:c>
      <x:c r="E23" s="52"/>
      <x:c r="F23" s="52" t="str">
        <x:v>Assist where permitted</x:v>
      </x:c>
      <x:c r="G23" s="52"/>
      <x:c r="H23" s="52" t="str">
        <x:v>Full operational workflow</x:v>
      </x:c>
      <x:c r="I23" s="52"/>
      <x:c r="J23" s="52" t="str">
        <x:v>Evidence, deadlines and loss ownership matter</x:v>
      </x:c>
      <x:c r="K23" s="52"/>
      <x:c r="L23" s="5"/>
    </x:row>
    <x:row r="24" ht="48" customHeight="1">
      <x:c r="A24" s="5"/>
      <x:c r="B24" s="388" t="str">
        <x:v>Records</x:v>
      </x:c>
      <x:c r="C24" s="388"/>
      <x:c r="D24" s="5" t="str">
        <x:v>Simple sale history</x:v>
      </x:c>
      <x:c r="E24" s="5"/>
      <x:c r="F24" s="5" t="str">
        <x:v>Shared view by permission</x:v>
      </x:c>
      <x:c r="G24" s="5"/>
      <x:c r="H24" s="5" t="str">
        <x:v>Sales, fees, refunds, payouts and expenses</x:v>
      </x:c>
      <x:c r="I24" s="5"/>
      <x:c r="J24" s="5" t="str">
        <x:v>Records feed tax and accounting support</x:v>
      </x:c>
      <x:c r="K24" s="5"/>
      <x:c r="L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</x:row>
    <x:row r="28" ht="24" customHeight="1">
      <x:c r="A28" s="5"/>
      <x:c r="B28" s="459" t="str">
        <x:v>Annual PayFac economics</x:v>
      </x:c>
      <x:c r="C28" s="459"/>
      <x:c r="D28" s="459"/>
      <x:c r="E28" s="459"/>
      <x:c r="F28" s="459"/>
      <x:c r="G28" s="459"/>
      <x:c r="H28" s="459"/>
      <x:c r="I28" s="459"/>
      <x:c r="J28" s="459"/>
      <x:c r="K28" s="459"/>
      <x:c r="L28" s="5"/>
    </x:row>
    <x:row r="29" ht="25" customHeight="1">
      <x:c r="A29" s="5"/>
      <x:c r="B29" s="463" t="str">
        <x:v>YEARLY AMOUNT • USD</x:v>
      </x:c>
      <x:c r="C29" s="463"/>
      <x:c r="D29" s="463"/>
      <x:c r="E29" s="463"/>
      <x:c r="F29" s="463" t="str">
        <x:v>SELECT</x:v>
      </x:c>
      <x:c r="G29" s="463"/>
      <x:c r="H29" s="463"/>
      <x:c r="I29" s="463" t="str">
        <x:v>PREMIER</x:v>
      </x:c>
      <x:c r="J29" s="463"/>
      <x:c r="K29" s="463" t="str">
        <x:v>MEANING</x:v>
      </x:c>
      <x:c r="L29" s="5"/>
    </x:row>
    <x:row r="30">
      <x:c r="A30" s="5"/>
      <x:c r="B30" s="695" t="str">
        <x:v>Customer processing fees</x:v>
      </x:c>
      <x:c r="C30" s="695"/>
      <x:c r="D30" s="695"/>
      <x:c r="E30" s="695"/>
      <x:c r="F30" s="696" t="n">
        <x:f>'Model Engine'!F11</x:f>
        <x:v>3200</x:v>
      </x:c>
      <x:c r="G30" s="696"/>
      <x:c r="H30" s="696"/>
      <x:c r="I30" s="696" t="n">
        <x:f>'Model Engine'!F13</x:f>
        <x:v>2700</x:v>
      </x:c>
      <x:c r="J30" s="696"/>
      <x:c r="K30" s="695" t="str">
        <x:v>What the customer is charged for sales.</x:v>
      </x:c>
      <x:c r="L30" s="5"/>
    </x:row>
    <x:row r="31">
      <x:c r="A31" s="5"/>
      <x:c r="B31" s="697" t="str">
        <x:v>Less card-brand and network costs</x:v>
      </x:c>
      <x:c r="C31" s="697"/>
      <x:c r="D31" s="697"/>
      <x:c r="E31" s="697"/>
      <x:c r="F31" s="698" t="n">
        <x:f>-'Model Engine'!F10</x:f>
        <x:v>-1900</x:v>
      </x:c>
      <x:c r="G31" s="698"/>
      <x:c r="H31" s="698"/>
      <x:c r="I31" s="698" t="n">
        <x:f>-'Model Engine'!F10</x:f>
        <x:v>-1900</x:v>
      </x:c>
      <x:c r="J31" s="698"/>
      <x:c r="K31" s="697" t="str">
        <x:v>External interchange and network cost.</x:v>
      </x:c>
      <x:c r="L31" s="5"/>
    </x:row>
    <x:row r="32">
      <x:c r="A32" s="5"/>
      <x:c r="B32" s="695" t="str">
        <x:v>Less PayFac operating costs</x:v>
      </x:c>
      <x:c r="C32" s="695"/>
      <x:c r="D32" s="695"/>
      <x:c r="E32" s="695"/>
      <x:c r="F32" s="696" t="n">
        <x:f>-'Model Engine'!F27</x:f>
        <x:v>-696.061403508772</x:v>
      </x:c>
      <x:c r="G32" s="696"/>
      <x:c r="H32" s="696"/>
      <x:c r="I32" s="696" t="n">
        <x:f>-'Model Engine'!F28</x:f>
        <x:v>-698.1030701754387</x:v>
      </x:c>
      <x:c r="J32" s="696"/>
      <x:c r="K32" s="695" t="str">
        <x:v>All enabled PayFac Rate Card costs.</x:v>
      </x:c>
      <x:c r="L32" s="5"/>
    </x:row>
    <x:row r="33">
      <x:c r="A33" s="5"/>
      <x:c r="B33" s="697" t="str">
        <x:v>Less Premier provider-fee bonus</x:v>
      </x:c>
      <x:c r="C33" s="697"/>
      <x:c r="D33" s="697"/>
      <x:c r="E33" s="697"/>
      <x:c r="F33" s="698" t="n">
        <x:f>0</x:f>
        <x:v>0</x:v>
      </x:c>
      <x:c r="G33" s="698"/>
      <x:c r="H33" s="698"/>
      <x:c r="I33" s="698" t="n">
        <x:f>-'Model Engine'!F21</x:f>
        <x:v>-160</x:v>
      </x:c>
      <x:c r="J33" s="698"/>
      <x:c r="K33" s="697" t="str">
        <x:v>Customer benefit tied to provider fees.</x:v>
      </x:c>
      <x:c r="L33" s="5"/>
    </x:row>
    <x:row r="34">
      <x:c r="A34" s="5"/>
      <x:c r="B34" s="699" t="str">
        <x:v>PayFac contribution</x:v>
      </x:c>
      <x:c r="C34" s="699"/>
      <x:c r="D34" s="699"/>
      <x:c r="E34" s="699"/>
      <x:c r="F34" s="700" t="n">
        <x:f>'Model Engine'!F30</x:f>
        <x:v>603.938596491228</x:v>
      </x:c>
      <x:c r="G34" s="700"/>
      <x:c r="H34" s="700"/>
      <x:c r="I34" s="700" t="n">
        <x:f>'Model Engine'!F31</x:f>
        <x:v>-58.10307017543869</x:v>
      </x:c>
      <x:c r="J34" s="700"/>
      <x:c r="K34" s="699" t="str">
        <x:v>Contribution after modeled PayFac costs.</x:v>
      </x:c>
      <x:c r="L34" s="5"/>
    </x:row>
    <x:row r="35">
      <x:c r="A35" s="5"/>
      <x:c r="B35" s="329"/>
      <x:c r="C35" s="329"/>
      <x:c r="D35" s="329"/>
      <x:c r="E35" s="329"/>
      <x:c r="F35" s="334"/>
      <x:c r="G35" s="334"/>
      <x:c r="H35" s="334"/>
      <x:c r="I35" s="334"/>
      <x:c r="J35" s="334"/>
      <x:c r="K35" s="329"/>
      <x:c r="L35" s="5"/>
    </x:row>
    <x:row r="36">
      <x:c r="A36" s="5"/>
      <x:c r="B36" s="712" t="str">
        <x:v>Open Cost Center for the simple rollup and Rate Cards for processor, payout, onboarding, labor, loss, compliance and future partner costs.</x:v>
      </x:c>
      <x:c r="C36" s="712"/>
      <x:c r="D36" s="712"/>
      <x:c r="E36" s="712"/>
      <x:c r="F36" s="669"/>
      <x:c r="G36" s="669"/>
      <x:c r="H36" s="669"/>
      <x:c r="I36" s="669"/>
      <x:c r="J36" s="669"/>
      <x:c r="K36" s="712"/>
      <x:c r="L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</x:row>
    <x:row r="40" ht="24" customHeight="1">
      <x:c r="A40" s="5"/>
      <x:c r="B40" s="28" t="str">
        <x:v>Control points</x:v>
      </x:c>
      <x:c r="C40" s="28"/>
      <x:c r="D40" s="28"/>
      <x:c r="E40" s="28"/>
      <x:c r="F40" s="28"/>
      <x:c r="G40" s="28"/>
      <x:c r="H40" s="28"/>
      <x:c r="I40" s="28"/>
      <x:c r="J40" s="28"/>
      <x:c r="K40" s="28"/>
      <x:c r="L40" s="5"/>
    </x:row>
    <x:row r="41" ht="35" customHeight="1">
      <x:c r="A41" s="5"/>
      <x:c r="B41" s="278" t="str">
        <x:v>Seller identity</x:v>
      </x:c>
      <x:c r="C41" s="278"/>
      <x:c r="D41" s="278"/>
      <x:c r="E41" s="66" t="str">
        <x:v>Every sale must identify the approved Seller and payout owner.</x:v>
      </x:c>
      <x:c r="F41" s="66"/>
      <x:c r="G41" s="66"/>
      <x:c r="H41" s="66"/>
      <x:c r="I41" s="66"/>
      <x:c r="J41" s="66"/>
      <x:c r="K41" s="66"/>
      <x:c r="L41" s="5"/>
    </x:row>
    <x:row r="42" ht="35" customHeight="1">
      <x:c r="A42" s="5"/>
      <x:c r="B42" s="276" t="str">
        <x:v>Transaction purpose</x:v>
      </x:c>
      <x:c r="C42" s="276"/>
      <x:c r="D42" s="276"/>
      <x:c r="E42" s="76" t="str">
        <x:v>Commercial sales must stay separate from personal transfers and household reimbursements.</x:v>
      </x:c>
      <x:c r="F42" s="76"/>
      <x:c r="G42" s="76"/>
      <x:c r="H42" s="76"/>
      <x:c r="I42" s="76"/>
      <x:c r="J42" s="76"/>
      <x:c r="K42" s="76"/>
      <x:c r="L42" s="5"/>
    </x:row>
    <x:row r="43" ht="35" customHeight="1">
      <x:c r="A43" s="5"/>
      <x:c r="B43" s="278" t="str">
        <x:v>Merchant descriptor</x:v>
      </x:c>
      <x:c r="C43" s="278"/>
      <x:c r="D43" s="278"/>
      <x:c r="E43" s="66" t="str">
        <x:v>Checkout, receipt and statement information should identify the responsible Seller.</x:v>
      </x:c>
      <x:c r="F43" s="66"/>
      <x:c r="G43" s="66"/>
      <x:c r="H43" s="66"/>
      <x:c r="I43" s="66"/>
      <x:c r="J43" s="66"/>
      <x:c r="K43" s="66"/>
      <x:c r="L43" s="5"/>
    </x:row>
    <x:row r="44" ht="35" customHeight="1">
      <x:c r="A44" s="5"/>
      <x:c r="B44" s="276" t="str">
        <x:v>Funds availability</x:v>
      </x:c>
      <x:c r="C44" s="276"/>
      <x:c r="D44" s="276"/>
      <x:c r="E44" s="76" t="str">
        <x:v>Pending, disputed and reserved funds remain unavailable.</x:v>
      </x:c>
      <x:c r="F44" s="76"/>
      <x:c r="G44" s="76"/>
      <x:c r="H44" s="76"/>
      <x:c r="I44" s="76"/>
      <x:c r="J44" s="76"/>
      <x:c r="K44" s="76"/>
      <x:c r="L44" s="5"/>
    </x:row>
    <x:row r="45" ht="35" customHeight="1">
      <x:c r="A45" s="5"/>
      <x:c r="B45" s="278" t="str">
        <x:v>Refund and dispute ownership</x:v>
      </x:c>
      <x:c r="C45" s="278"/>
      <x:c r="D45" s="278"/>
      <x:c r="E45" s="66" t="str">
        <x:v>The accountable Seller and operating team must be clear.</x:v>
      </x:c>
      <x:c r="F45" s="66"/>
      <x:c r="G45" s="66"/>
      <x:c r="H45" s="66"/>
      <x:c r="I45" s="66"/>
      <x:c r="J45" s="66"/>
      <x:c r="K45" s="66"/>
      <x:c r="L45" s="5"/>
    </x:row>
    <x:row r="46" ht="35" customHeight="1">
      <x:c r="A46" s="5"/>
      <x:c r="B46" s="276" t="str">
        <x:v>Pricing completeness</x:v>
      </x:c>
      <x:c r="C46" s="276"/>
      <x:c r="D46" s="276"/>
      <x:c r="E46" s="76" t="str">
        <x:v>Authorization attempts, payouts, disputes, invoicing and optional tools need explicit cost treatment.</x:v>
      </x:c>
      <x:c r="F46" s="76"/>
      <x:c r="G46" s="76"/>
      <x:c r="H46" s="76"/>
      <x:c r="I46" s="76"/>
      <x:c r="J46" s="76"/>
      <x:c r="K46" s="76"/>
      <x:c r="L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</x:row>
  </x:sheetData>
  <x:mergeCells>
    <x:mergeCell ref="B2:K2"/>
    <x:mergeCell ref="B3:K3"/>
    <x:mergeCell ref="B5:K5"/>
    <x:mergeCell ref="B7:K7"/>
    <x:mergeCell ref="B8:D8"/>
    <x:mergeCell ref="E8:K8"/>
    <x:mergeCell ref="B9:D9"/>
    <x:mergeCell ref="E9:K9"/>
    <x:mergeCell ref="B10:D10"/>
    <x:mergeCell ref="E10:K10"/>
    <x:mergeCell ref="B11:D11"/>
    <x:mergeCell ref="E11:K11"/>
    <x:mergeCell ref="B12:D12"/>
    <x:mergeCell ref="E12:K12"/>
    <x:mergeCell ref="B13:D13"/>
    <x:mergeCell ref="E13:K13"/>
    <x:mergeCell ref="B14:D14"/>
    <x:mergeCell ref="E14:K14"/>
    <x:mergeCell ref="B18:K18"/>
    <x:mergeCell ref="B20:C20"/>
    <x:mergeCell ref="D20:E20"/>
    <x:mergeCell ref="F20:G20"/>
    <x:mergeCell ref="H20:I20"/>
    <x:mergeCell ref="J20:K20"/>
    <x:mergeCell ref="B21:C21"/>
    <x:mergeCell ref="D21:E21"/>
    <x:mergeCell ref="F21:G21"/>
    <x:mergeCell ref="H21:I21"/>
    <x:mergeCell ref="J21:K21"/>
    <x:mergeCell ref="B22:C22"/>
    <x:mergeCell ref="D22:E22"/>
    <x:mergeCell ref="F22:G22"/>
    <x:mergeCell ref="H22:I22"/>
    <x:mergeCell ref="J22:K22"/>
    <x:mergeCell ref="B23:C23"/>
    <x:mergeCell ref="D23:E23"/>
    <x:mergeCell ref="F23:G23"/>
    <x:mergeCell ref="H23:I23"/>
    <x:mergeCell ref="J23:K23"/>
    <x:mergeCell ref="B24:C24"/>
    <x:mergeCell ref="D24:E24"/>
    <x:mergeCell ref="F24:G24"/>
    <x:mergeCell ref="H24:I24"/>
    <x:mergeCell ref="J24:K24"/>
    <x:mergeCell ref="B28:K28"/>
    <x:mergeCell ref="B30:E30"/>
    <x:mergeCell ref="F30:G30"/>
    <x:mergeCell ref="I30:J30"/>
    <x:mergeCell ref="B31:E31"/>
    <x:mergeCell ref="F31:G31"/>
    <x:mergeCell ref="I31:J31"/>
    <x:mergeCell ref="B32:E32"/>
    <x:mergeCell ref="F32:G32"/>
    <x:mergeCell ref="I32:J32"/>
    <x:mergeCell ref="B33:E33"/>
    <x:mergeCell ref="F33:G33"/>
    <x:mergeCell ref="I33:J33"/>
    <x:mergeCell ref="B34:E34"/>
    <x:mergeCell ref="F34:G34"/>
    <x:mergeCell ref="I34:J34"/>
    <x:mergeCell ref="B35:E35"/>
    <x:mergeCell ref="F35:G35"/>
    <x:mergeCell ref="I35:J35"/>
    <x:mergeCell ref="B36:E36"/>
    <x:mergeCell ref="F36:G36"/>
    <x:mergeCell ref="I36:J36"/>
    <x:mergeCell ref="B40:K40"/>
    <x:mergeCell ref="B41:D41"/>
    <x:mergeCell ref="E41:K41"/>
    <x:mergeCell ref="B42:D42"/>
    <x:mergeCell ref="E42:K42"/>
    <x:mergeCell ref="B43:D43"/>
    <x:mergeCell ref="E43:K43"/>
    <x:mergeCell ref="B44:D44"/>
    <x:mergeCell ref="E44:K44"/>
    <x:mergeCell ref="B45:D45"/>
    <x:mergeCell ref="E45:K45"/>
    <x:mergeCell ref="B46:D46"/>
    <x:mergeCell ref="E46:K46"/>
    <x:mergeCell ref="B36:K3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5" hidden="0" customWidth="1"/>
    <x:col min="3" max="3" width="21" hidden="0" customWidth="1"/>
    <x:col min="4" max="4" width="3" hidden="0" customWidth="1"/>
    <x:col min="5" max="5" width="21" hidden="0" customWidth="1"/>
    <x:col min="6" max="6" width="3" hidden="0" customWidth="1"/>
    <x:col min="7" max="7" width="21" hidden="0" customWidth="1"/>
    <x:col min="8" max="8" width="3" hidden="0" customWidth="1"/>
    <x:col min="9" max="9" width="21" hidden="0" customWidth="1"/>
    <x:col min="10" max="10" width="3" hidden="0" customWidth="1"/>
    <x:col min="11" max="11" width="30" hidden="0" customWidth="1"/>
    <x:col min="12" max="12" width="2.20000004768371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5"/>
      <x:c r="B2" s="12" t="str">
        <x:v>Issuing Detail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5"/>
    </x:row>
    <x:row r="3" ht="24" customHeight="1">
      <x:c r="A3" s="5"/>
      <x:c r="B3" s="18" t="str">
        <x:v>End-to-end Pay &amp; Spend workflow, account structure, controls and economics.</x:v>
      </x:c>
      <x:c r="C3" s="18"/>
      <x:c r="D3" s="18"/>
      <x:c r="E3" s="18"/>
      <x:c r="F3" s="18"/>
      <x:c r="G3" s="18"/>
      <x:c r="H3" s="18"/>
      <x:c r="I3" s="18"/>
      <x:c r="J3" s="18"/>
      <x:c r="K3" s="18"/>
      <x:c r="L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31" customHeight="1">
      <x:c r="A5" s="5"/>
      <x:c r="B5" s="111" t="str">
        <x:v>Personal, Household and Seller share the member experience but require different ownership, funding, repayment and servicing.</x:v>
      </x:c>
      <x:c r="C5" s="111"/>
      <x:c r="D5" s="111"/>
      <x:c r="E5" s="111"/>
      <x:c r="F5" s="111"/>
      <x:c r="G5" s="111"/>
      <x:c r="H5" s="111"/>
      <x:c r="I5" s="111"/>
      <x:c r="J5" s="111"/>
      <x:c r="K5" s="111"/>
      <x:c r="L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</x:row>
    <x:row r="7" ht="24" customHeight="1">
      <x:c r="A7" s="5"/>
      <x:c r="B7" s="28" t="str">
        <x:v>Pay &amp; Spend playbook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5"/>
    </x:row>
    <x:row r="8" ht="34" customHeight="1">
      <x:c r="A8" s="5"/>
      <x:c r="B8" s="276" t="str">
        <x:v>1. Apply</x:v>
      </x:c>
      <x:c r="C8" s="276"/>
      <x:c r="D8" s="276"/>
      <x:c r="E8" s="76" t="str">
        <x:v>Identify owner, purpose, account type and intended users.</x:v>
      </x:c>
      <x:c r="F8" s="76"/>
      <x:c r="G8" s="76"/>
      <x:c r="H8" s="76"/>
      <x:c r="I8" s="76"/>
      <x:c r="J8" s="76"/>
      <x:c r="K8" s="76"/>
      <x:c r="L8" s="5"/>
    </x:row>
    <x:row r="9" ht="34" customHeight="1">
      <x:c r="A9" s="5"/>
      <x:c r="B9" s="278" t="str">
        <x:v>2. Verify &amp; Decide</x:v>
      </x:c>
      <x:c r="C9" s="278"/>
      <x:c r="D9" s="278"/>
      <x:c r="E9" s="66" t="str">
        <x:v>Complete consumer or commercial review and required disclosures.</x:v>
      </x:c>
      <x:c r="F9" s="66"/>
      <x:c r="G9" s="66"/>
      <x:c r="H9" s="66"/>
      <x:c r="I9" s="66"/>
      <x:c r="J9" s="66"/>
      <x:c r="K9" s="66"/>
      <x:c r="L9" s="5"/>
    </x:row>
    <x:row r="10" ht="34" customHeight="1">
      <x:c r="A10" s="5"/>
      <x:c r="B10" s="276" t="str">
        <x:v>3. Fund or Secure</x:v>
      </x:c>
      <x:c r="C10" s="276"/>
      <x:c r="D10" s="276"/>
      <x:c r="E10" s="76" t="str">
        <x:v>Establish collateral, funded balance or eligible available Seller funds.</x:v>
      </x:c>
      <x:c r="F10" s="76"/>
      <x:c r="G10" s="76"/>
      <x:c r="H10" s="76"/>
      <x:c r="I10" s="76"/>
      <x:c r="J10" s="76"/>
      <x:c r="K10" s="76"/>
      <x:c r="L10" s="5"/>
    </x:row>
    <x:row r="11" ht="34" customHeight="1">
      <x:c r="A11" s="5"/>
      <x:c r="B11" s="278" t="str">
        <x:v>4. Configure Access</x:v>
      </x:c>
      <x:c r="C11" s="278"/>
      <x:c r="D11" s="278"/>
      <x:c r="E11" s="66" t="str">
        <x:v>Create owner, participant, supervised or Seller-team permissions.</x:v>
      </x:c>
      <x:c r="F11" s="66"/>
      <x:c r="G11" s="66"/>
      <x:c r="H11" s="66"/>
      <x:c r="I11" s="66"/>
      <x:c r="J11" s="66"/>
      <x:c r="K11" s="66"/>
      <x:c r="L11" s="5"/>
    </x:row>
    <x:row r="12" ht="34" customHeight="1">
      <x:c r="A12" s="5"/>
      <x:c r="B12" s="276" t="str">
        <x:v>5. Authorize &amp; Settle</x:v>
      </x:c>
      <x:c r="C12" s="276"/>
      <x:c r="D12" s="276"/>
      <x:c r="E12" s="76" t="str">
        <x:v>Apply real-time controls and settle approved purchases.</x:v>
      </x:c>
      <x:c r="F12" s="76"/>
      <x:c r="G12" s="76"/>
      <x:c r="H12" s="76"/>
      <x:c r="I12" s="76"/>
      <x:c r="J12" s="76"/>
      <x:c r="K12" s="76"/>
      <x:c r="L12" s="5"/>
    </x:row>
    <x:row r="13" ht="34" customHeight="1">
      <x:c r="A13" s="5"/>
      <x:c r="B13" s="278" t="str">
        <x:v>6. Repay</x:v>
      </x:c>
      <x:c r="C13" s="278"/>
      <x:c r="D13" s="278"/>
      <x:c r="E13" s="66" t="str">
        <x:v>Use the correct consumer or commercial repayment schedule.</x:v>
      </x:c>
      <x:c r="F13" s="66"/>
      <x:c r="G13" s="66"/>
      <x:c r="H13" s="66"/>
      <x:c r="I13" s="66"/>
      <x:c r="J13" s="66"/>
      <x:c r="K13" s="66"/>
      <x:c r="L13" s="5"/>
    </x:row>
    <x:row r="14" ht="34" customHeight="1">
      <x:c r="A14" s="5"/>
      <x:c r="B14" s="276" t="str">
        <x:v>7. Reward &amp; Reconcile</x:v>
      </x:c>
      <x:c r="C14" s="276"/>
      <x:c r="D14" s="276"/>
      <x:c r="E14" s="76" t="str">
        <x:v>Post cashback, apply the shared cap and organize receipts and records.</x:v>
      </x:c>
      <x:c r="F14" s="76"/>
      <x:c r="G14" s="76"/>
      <x:c r="H14" s="76"/>
      <x:c r="I14" s="76"/>
      <x:c r="J14" s="76"/>
      <x:c r="K14" s="76"/>
      <x:c r="L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</x:row>
    <x:row r="18" ht="24" customHeight="1">
      <x:c r="A18" s="5"/>
      <x:c r="B18" s="28" t="str">
        <x:v>Product structure by workspace</x:v>
      </x:c>
      <x:c r="C18" s="28"/>
      <x:c r="D18" s="28"/>
      <x:c r="E18" s="28"/>
      <x:c r="F18" s="28"/>
      <x:c r="G18" s="28"/>
      <x:c r="H18" s="28"/>
      <x:c r="I18" s="28"/>
      <x:c r="J18" s="28"/>
      <x:c r="K18" s="28"/>
      <x:c r="L18" s="5"/>
    </x:row>
    <x:row r="19" ht="25" customHeight="1">
      <x:c r="A19" s="5"/>
      <x:c r="B19" s="35" t="str">
        <x:v>QUESTION</x:v>
      </x:c>
      <x:c r="C19" s="35"/>
      <x:c r="D19" s="35" t="str">
        <x:v>PERSONAL</x:v>
      </x:c>
      <x:c r="E19" s="35"/>
      <x:c r="F19" s="35" t="str">
        <x:v>HOUSEHOLD</x:v>
      </x:c>
      <x:c r="G19" s="35"/>
      <x:c r="H19" s="35" t="str">
        <x:v>SELLER</x:v>
      </x:c>
      <x:c r="I19" s="35"/>
      <x:c r="J19" s="35" t="str">
        <x:v>CONTROL / COST EFFECT</x:v>
      </x:c>
      <x:c r="K19" s="35"/>
      <x:c r="L19" s="5"/>
    </x:row>
    <x:row r="20" ht="50" customHeight="1">
      <x:c r="A20" s="5"/>
      <x:c r="B20" s="388" t="str">
        <x:v>Primary job</x:v>
      </x:c>
      <x:c r="C20" s="388"/>
      <x:c r="D20" s="5" t="str">
        <x:v>Own purchases and subscriptions</x:v>
      </x:c>
      <x:c r="E20" s="5"/>
      <x:c r="F20" s="5" t="str">
        <x:v>Shared or supervised spending</x:v>
      </x:c>
      <x:c r="G20" s="5"/>
      <x:c r="H20" s="5" t="str">
        <x:v>Commercial spending</x:v>
      </x:c>
      <x:c r="I20" s="5"/>
      <x:c r="J20" s="5" t="str">
        <x:v>Different jobs require different risk and servicing</x:v>
      </x:c>
      <x:c r="K20" s="5"/>
      <x:c r="L20" s="5"/>
    </x:row>
    <x:row r="21" ht="50" customHeight="1">
      <x:c r="A21" s="5"/>
      <x:c r="B21" s="390" t="str">
        <x:v>Account structure</x:v>
      </x:c>
      <x:c r="C21" s="390"/>
      <x:c r="D21" s="52" t="str">
        <x:v>Secured consumer pay-in-full</x:v>
      </x:c>
      <x:c r="E21" s="52"/>
      <x:c r="F21" s="52" t="str">
        <x:v>Authorized adult access + funded supervised youth access</x:v>
      </x:c>
      <x:c r="G21" s="52"/>
      <x:c r="H21" s="52" t="str">
        <x:v>Secured commercial charge</x:v>
      </x:c>
      <x:c r="I21" s="52"/>
      <x:c r="J21" s="52" t="str">
        <x:v>Do not combine consumer and commercial agreements</x:v>
      </x:c>
      <x:c r="K21" s="52"/>
      <x:c r="L21" s="5"/>
    </x:row>
    <x:row r="22" ht="50" customHeight="1">
      <x:c r="A22" s="5"/>
      <x:c r="B22" s="388" t="str">
        <x:v>Responsibility</x:v>
      </x:c>
      <x:c r="C22" s="388"/>
      <x:c r="D22" s="5" t="str">
        <x:v>Account owner</x:v>
      </x:c>
      <x:c r="E22" s="5"/>
      <x:c r="F22" s="5" t="str">
        <x:v>Primary owner or guardian</x:v>
      </x:c>
      <x:c r="G22" s="5"/>
      <x:c r="H22" s="5" t="str">
        <x:v>Seller owner or business</x:v>
      </x:c>
      <x:c r="I22" s="5"/>
      <x:c r="J22" s="5" t="str">
        <x:v>Access does not automatically create liability</x:v>
      </x:c>
      <x:c r="K22" s="5"/>
      <x:c r="L22" s="5"/>
    </x:row>
    <x:row r="23" ht="50" customHeight="1">
      <x:c r="A23" s="5"/>
      <x:c r="B23" s="390" t="str">
        <x:v>Spending power</x:v>
      </x:c>
      <x:c r="C23" s="390"/>
      <x:c r="D23" s="52" t="str">
        <x:v>Refundable collateral</x:v>
      </x:c>
      <x:c r="E23" s="52"/>
      <x:c r="F23" s="52" t="str">
        <x:v>Shared approved capacity or funded balance</x:v>
      </x:c>
      <x:c r="G23" s="52"/>
      <x:c r="H23" s="52" t="str">
        <x:v>Pledged cash and eligible available Seller funds</x:v>
      </x:c>
      <x:c r="I23" s="52"/>
      <x:c r="J23" s="52" t="str">
        <x:v>Do not reuse pending sales or reserves</x:v>
      </x:c>
      <x:c r="K23" s="52"/>
      <x:c r="L23" s="5"/>
    </x:row>
    <x:row r="24" ht="50" customHeight="1">
      <x:c r="A24" s="5"/>
      <x:c r="B24" s="388" t="str">
        <x:v>Repayment</x:v>
      </x:c>
      <x:c r="C24" s="388"/>
      <x:c r="D24" s="5" t="str">
        <x:v>Full statement schedule</x:v>
      </x:c>
      <x:c r="E24" s="5"/>
      <x:c r="F24" s="5" t="str">
        <x:v>Owner repays shared credit; funded youth access has no bill</x:v>
      </x:c>
      <x:c r="G24" s="5"/>
      <x:c r="H24" s="5" t="str">
        <x:v>Full daily repayment at launch</x:v>
      </x:c>
      <x:c r="I24" s="5"/>
      <x:c r="J24" s="5" t="str">
        <x:v>Funding duration drives economics</x:v>
      </x:c>
      <x:c r="K24" s="5"/>
      <x:c r="L24" s="5"/>
    </x:row>
    <x:row r="25" ht="50" customHeight="1">
      <x:c r="A25" s="5"/>
      <x:c r="B25" s="390" t="str">
        <x:v>Controls</x:v>
      </x:c>
      <x:c r="C25" s="390"/>
      <x:c r="D25" s="52" t="str">
        <x:v>Freeze, limits, merchant/subscription rules</x:v>
      </x:c>
      <x:c r="E25" s="52"/>
      <x:c r="F25" s="52" t="str">
        <x:v>Per-person limits, categories, allowances and alerts</x:v>
      </x:c>
      <x:c r="G25" s="52"/>
      <x:c r="H25" s="52" t="str">
        <x:v>Vendor/project budgets, approvals and real-time policy</x:v>
      </x:c>
      <x:c r="I25" s="52"/>
      <x:c r="J25" s="52" t="str">
        <x:v>Controls should operate at authorization</x:v>
      </x:c>
      <x:c r="K25" s="52"/>
      <x:c r="L25" s="5"/>
    </x:row>
    <x:row r="26" ht="50" customHeight="1">
      <x:c r="A26" s="5"/>
      <x:c r="B26" s="388" t="str">
        <x:v>Records</x:v>
      </x:c>
      <x:c r="C26" s="388"/>
      <x:c r="D26" s="5" t="str">
        <x:v>Private purchases and receipts</x:v>
      </x:c>
      <x:c r="E26" s="5"/>
      <x:c r="F26" s="5" t="str">
        <x:v>Activity by person and shared budget</x:v>
      </x:c>
      <x:c r="G26" s="5"/>
      <x:c r="H26" s="5" t="str">
        <x:v>Receipts, coding and accounting reconciliation</x:v>
      </x:c>
      <x:c r="I26" s="5"/>
      <x:c r="J26" s="5" t="str">
        <x:v>One app, segmented records</x:v>
      </x:c>
      <x:c r="K26" s="5"/>
      <x:c r="L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</x:row>
    <x:row r="30" ht="24" customHeight="1">
      <x:c r="A30" s="5"/>
      <x:c r="B30" s="459" t="str">
        <x:v>Annual issuing economics</x:v>
      </x:c>
      <x:c r="C30" s="459"/>
      <x:c r="D30" s="459"/>
      <x:c r="E30" s="459"/>
      <x:c r="F30" s="459"/>
      <x:c r="G30" s="459"/>
      <x:c r="H30" s="459"/>
      <x:c r="I30" s="459"/>
      <x:c r="J30" s="459"/>
      <x:c r="K30" s="459"/>
      <x:c r="L30" s="5"/>
    </x:row>
    <x:row r="31" ht="26" customHeight="1">
      <x:c r="A31" s="5"/>
      <x:c r="B31" s="463" t="str">
        <x:v>YEARLY AMOUNT • USD</x:v>
      </x:c>
      <x:c r="C31" s="463"/>
      <x:c r="D31" s="463"/>
      <x:c r="E31" s="463"/>
      <x:c r="F31" s="463" t="str">
        <x:v>SELECT</x:v>
      </x:c>
      <x:c r="G31" s="463"/>
      <x:c r="H31" s="463"/>
      <x:c r="I31" s="463" t="str">
        <x:v>PREMIER</x:v>
      </x:c>
      <x:c r="J31" s="463"/>
      <x:c r="K31" s="463" t="str">
        <x:v>MEANING</x:v>
      </x:c>
      <x:c r="L31" s="5"/>
    </x:row>
    <x:row r="32">
      <x:c r="A32" s="5"/>
      <x:c r="B32" s="695" t="str">
        <x:v>Issuer income paid to us</x:v>
      </x:c>
      <x:c r="C32" s="695"/>
      <x:c r="D32" s="695"/>
      <x:c r="E32" s="695"/>
      <x:c r="F32" s="696" t="n">
        <x:f>'Model Engine'!F32</x:f>
        <x:v>336</x:v>
      </x:c>
      <x:c r="G32" s="696"/>
      <x:c r="H32" s="696"/>
      <x:c r="I32" s="696" t="n">
        <x:f>'Model Engine'!F32</x:f>
        <x:v>336</x:v>
      </x:c>
      <x:c r="J32" s="696"/>
      <x:c r="K32" s="695" t="str">
        <x:v>Net issuer remittance under the modeled agreement.</x:v>
      </x:c>
      <x:c r="L32" s="5"/>
    </x:row>
    <x:row r="33">
      <x:c r="A33" s="5"/>
      <x:c r="B33" s="697" t="str">
        <x:v>Less everyday cashback</x:v>
      </x:c>
      <x:c r="C33" s="697"/>
      <x:c r="D33" s="697"/>
      <x:c r="E33" s="697"/>
      <x:c r="F33" s="698" t="n">
        <x:f>-'Model Engine'!F14</x:f>
        <x:v>-120</x:v>
      </x:c>
      <x:c r="G33" s="698"/>
      <x:c r="H33" s="698"/>
      <x:c r="I33" s="698" t="n">
        <x:f>-'Model Engine'!F15</x:f>
        <x:v>-120</x:v>
      </x:c>
      <x:c r="J33" s="698"/>
      <x:c r="K33" s="697" t="str">
        <x:v>Same 0.50% base cashback.</x:v>
      </x:c>
      <x:c r="L33" s="5"/>
    </x:row>
    <x:row r="34">
      <x:c r="A34" s="5"/>
      <x:c r="B34" s="695" t="str">
        <x:v>Less Premier spending bonus</x:v>
      </x:c>
      <x:c r="C34" s="695"/>
      <x:c r="D34" s="695"/>
      <x:c r="E34" s="695"/>
      <x:c r="F34" s="696" t="n">
        <x:f>0</x:f>
        <x:v>0</x:v>
      </x:c>
      <x:c r="G34" s="696"/>
      <x:c r="H34" s="696"/>
      <x:c r="I34" s="696" t="n">
        <x:f>-'Model Engine'!F20</x:f>
        <x:v>-120</x:v>
      </x:c>
      <x:c r="J34" s="696"/>
      <x:c r="K34" s="695" t="str">
        <x:v>Premier share of the capped extra bonus.</x:v>
      </x:c>
      <x:c r="L34" s="5"/>
    </x:row>
    <x:row r="35">
      <x:c r="A35" s="5"/>
      <x:c r="B35" s="697" t="str">
        <x:v>Less issuing operating costs</x:v>
      </x:c>
      <x:c r="C35" s="697"/>
      <x:c r="D35" s="697"/>
      <x:c r="E35" s="697"/>
      <x:c r="F35" s="698" t="n">
        <x:f>-'Model Engine'!F33</x:f>
        <x:v>-121.45228310502283</x:v>
      </x:c>
      <x:c r="G35" s="698"/>
      <x:c r="H35" s="698"/>
      <x:c r="I35" s="698" t="n">
        <x:f>-'Model Engine'!F34</x:f>
        <x:v>-123.49394977168949</x:v>
      </x:c>
      <x:c r="J35" s="698"/>
      <x:c r="K35" s="697" t="str">
        <x:v>All enabled issuing Rate Card costs.</x:v>
      </x:c>
      <x:c r="L35" s="5"/>
    </x:row>
    <x:row r="36">
      <x:c r="A36" s="5"/>
      <x:c r="B36" s="699" t="str">
        <x:v>Issuing contribution</x:v>
      </x:c>
      <x:c r="C36" s="699"/>
      <x:c r="D36" s="699"/>
      <x:c r="E36" s="699"/>
      <x:c r="F36" s="700" t="n">
        <x:f>'Model Engine'!F35</x:f>
        <x:v>94.54771689497717</x:v>
      </x:c>
      <x:c r="G36" s="700"/>
      <x:c r="H36" s="700"/>
      <x:c r="I36" s="700" t="n">
        <x:f>'Model Engine'!F36</x:f>
        <x:v>-27.493949771689486</x:v>
      </x:c>
      <x:c r="J36" s="700"/>
      <x:c r="K36" s="699" t="str">
        <x:v>Contribution after modeled issuing costs.</x:v>
      </x:c>
      <x:c r="L36" s="5"/>
    </x:row>
    <x:row r="37">
      <x:c r="A37" s="5"/>
      <x:c r="B37" s="344"/>
      <x:c r="C37" s="344"/>
      <x:c r="D37" s="344"/>
      <x:c r="E37" s="344"/>
      <x:c r="F37" s="348"/>
      <x:c r="G37" s="348"/>
      <x:c r="H37" s="348"/>
      <x:c r="I37" s="348"/>
      <x:c r="J37" s="348"/>
      <x:c r="K37" s="344"/>
      <x:c r="L37" s="5"/>
    </x:row>
    <x:row r="38">
      <x:c r="A38" s="5"/>
      <x:c r="B38" s="503" t="str">
        <x:v>Open Cost Center for the simple rollup and Rate Cards for funding, processor, cards, account, fraud, servicing, compliance and future partner costs.</x:v>
      </x:c>
      <x:c r="C38" s="503"/>
      <x:c r="D38" s="503"/>
      <x:c r="E38" s="503"/>
      <x:c r="F38" s="503"/>
      <x:c r="G38" s="503"/>
      <x:c r="H38" s="503"/>
      <x:c r="I38" s="503"/>
      <x:c r="J38" s="503"/>
      <x:c r="K38" s="503"/>
      <x:c r="L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</x:row>
    <x:row r="41" ht="24" customHeight="1">
      <x:c r="A41" s="5"/>
      <x:c r="B41" s="459" t="str">
        <x:v>Issuing economics by workspace</x:v>
      </x:c>
      <x:c r="C41" s="459"/>
      <x:c r="D41" s="459"/>
      <x:c r="E41" s="459"/>
      <x:c r="F41" s="459"/>
      <x:c r="G41" s="459"/>
      <x:c r="H41" s="459"/>
      <x:c r="I41" s="459"/>
      <x:c r="J41" s="459"/>
      <x:c r="K41" s="459"/>
      <x:c r="L41" s="5"/>
    </x:row>
    <x:row r="42" ht="27" customHeight="1">
      <x:c r="A42" s="5"/>
      <x:c r="B42" s="463" t="str">
        <x:v>METRIC</x:v>
      </x:c>
      <x:c r="C42" s="463"/>
      <x:c r="D42" s="463" t="str">
        <x:v>PERSONAL</x:v>
      </x:c>
      <x:c r="E42" s="463"/>
      <x:c r="F42" s="463" t="str">
        <x:v>HOUSEHOLD</x:v>
      </x:c>
      <x:c r="G42" s="463"/>
      <x:c r="H42" s="463" t="str">
        <x:v>SELLER</x:v>
      </x:c>
      <x:c r="I42" s="463"/>
      <x:c r="J42" s="463" t="str">
        <x:v>TOTAL</x:v>
      </x:c>
      <x:c r="K42" s="463"/>
      <x:c r="L42" s="5"/>
    </x:row>
    <x:row r="43">
      <x:c r="A43" s="5"/>
      <x:c r="B43" s="697" t="str">
        <x:v>Spend share</x:v>
      </x:c>
      <x:c r="C43" s="697"/>
      <x:c r="D43" s="715" t="n">
        <x:f>'Inputs'!C28</x:f>
        <x:v>0.5</x:v>
      </x:c>
      <x:c r="E43" s="715"/>
      <x:c r="F43" s="715" t="n">
        <x:f>'Inputs'!E28</x:f>
        <x:v>0.25</x:v>
      </x:c>
      <x:c r="G43" s="715"/>
      <x:c r="H43" s="715" t="n">
        <x:f>'Inputs'!G28</x:f>
        <x:v>0.25</x:v>
      </x:c>
      <x:c r="I43" s="715"/>
      <x:c r="J43" s="715" t="n">
        <x:f>SUM(D43,F43,H43)</x:f>
        <x:v>1</x:v>
      </x:c>
      <x:c r="K43" s="715"/>
      <x:c r="L43" s="5"/>
    </x:row>
    <x:row r="44">
      <x:c r="A44" s="5"/>
      <x:c r="B44" s="695" t="str">
        <x:v>Eligible purchases</x:v>
      </x:c>
      <x:c r="C44" s="695"/>
      <x:c r="D44" s="696" t="n">
        <x:f>'Model Engine'!F9*D43</x:f>
        <x:v>12000</x:v>
      </x:c>
      <x:c r="E44" s="696"/>
      <x:c r="F44" s="696" t="n">
        <x:f>'Model Engine'!F9*F43</x:f>
        <x:v>6000</x:v>
      </x:c>
      <x:c r="G44" s="696"/>
      <x:c r="H44" s="696" t="n">
        <x:f>'Model Engine'!F9*H43</x:f>
        <x:v>6000</x:v>
      </x:c>
      <x:c r="I44" s="696"/>
      <x:c r="J44" s="696" t="n">
        <x:f>SUM(D44,F44,H44)</x:f>
        <x:v>24000</x:v>
      </x:c>
      <x:c r="K44" s="696"/>
      <x:c r="L44" s="5"/>
    </x:row>
    <x:row r="45">
      <x:c r="A45" s="5"/>
      <x:c r="B45" s="697" t="str">
        <x:v>Issuer income</x:v>
      </x:c>
      <x:c r="C45" s="697"/>
      <x:c r="D45" s="698" t="n">
        <x:f>D44*'Inputs'!C29</x:f>
        <x:v>168</x:v>
      </x:c>
      <x:c r="E45" s="698"/>
      <x:c r="F45" s="698" t="n">
        <x:f>F44*'Inputs'!E29</x:f>
        <x:v>84</x:v>
      </x:c>
      <x:c r="G45" s="698"/>
      <x:c r="H45" s="698" t="n">
        <x:f>H44*'Inputs'!G29</x:f>
        <x:v>84</x:v>
      </x:c>
      <x:c r="I45" s="698"/>
      <x:c r="J45" s="698" t="n">
        <x:f>SUM(D45,F45,H45)</x:f>
        <x:v>336</x:v>
      </x:c>
      <x:c r="K45" s="698"/>
      <x:c r="L45" s="5"/>
    </x:row>
    <x:row r="46">
      <x:c r="A46" s="5"/>
      <x:c r="B46" s="695" t="str">
        <x:v>Everyday cashback</x:v>
      </x:c>
      <x:c r="C46" s="695"/>
      <x:c r="D46" s="696" t="n">
        <x:f>D44*'Inputs'!F12</x:f>
        <x:v>60</x:v>
      </x:c>
      <x:c r="E46" s="696"/>
      <x:c r="F46" s="696" t="n">
        <x:f>F44*'Inputs'!F12</x:f>
        <x:v>30</x:v>
      </x:c>
      <x:c r="G46" s="696"/>
      <x:c r="H46" s="696" t="n">
        <x:f>H44*'Inputs'!F12</x:f>
        <x:v>30</x:v>
      </x:c>
      <x:c r="I46" s="696"/>
      <x:c r="J46" s="696" t="n">
        <x:f>SUM(D46,F46,H46)</x:f>
        <x:v>120</x:v>
      </x:c>
      <x:c r="K46" s="696"/>
      <x:c r="L46" s="5"/>
    </x:row>
    <x:row r="47">
      <x:c r="A47" s="5"/>
      <x:c r="B47" s="697" t="str">
        <x:v>Premier spending bonus</x:v>
      </x:c>
      <x:c r="C47" s="697"/>
      <x:c r="D47" s="698" t="n">
        <x:f>'Model Engine'!F20*D43</x:f>
        <x:v>60</x:v>
      </x:c>
      <x:c r="E47" s="698"/>
      <x:c r="F47" s="698" t="n">
        <x:f>'Model Engine'!F20*F43</x:f>
        <x:v>30</x:v>
      </x:c>
      <x:c r="G47" s="698"/>
      <x:c r="H47" s="698" t="n">
        <x:f>'Model Engine'!F20*H43</x:f>
        <x:v>30</x:v>
      </x:c>
      <x:c r="I47" s="698"/>
      <x:c r="J47" s="698" t="n">
        <x:f>SUM(D47,F47,H47)</x:f>
        <x:v>120</x:v>
      </x:c>
      <x:c r="K47" s="698"/>
      <x:c r="L47" s="5"/>
    </x:row>
    <x:row r="48">
      <x:c r="A48" s="5"/>
      <x:c r="B48" s="695" t="str">
        <x:v>Select operating cost</x:v>
      </x:c>
      <x:c r="C48" s="695"/>
      <x:c r="D48" s="696" t="n">
        <x:f>SUMIFS('Rate Cards'!$Q$8:$Q$94,'Rate Cards'!$D$8:$D$94,"Issuing",'Rate Cards'!$G$8:$G$94,"Personal")+D43*SUMIFS('Rate Cards'!$Q$8:$Q$94,'Rate Cards'!$D$8:$D$94,"Issuing",'Rate Cards'!$G$8:$G$94,"Cross-platform")</x:f>
        <x:v>61.326141552511416</x:v>
      </x:c>
      <x:c r="E48" s="696"/>
      <x:c r="F48" s="696" t="n">
        <x:f>SUMIFS('Rate Cards'!$Q$8:$Q$94,'Rate Cards'!$D$8:$D$94,"Issuing",'Rate Cards'!$G$8:$G$94,"Household")+F43*SUMIFS('Rate Cards'!$Q$8:$Q$94,'Rate Cards'!$D$8:$D$94,"Issuing",'Rate Cards'!$G$8:$G$94,"Cross-platform")</x:f>
        <x:v>30.063070776255707</x:v>
      </x:c>
      <x:c r="G48" s="696"/>
      <x:c r="H48" s="696" t="n">
        <x:f>SUMIFS('Rate Cards'!$Q$8:$Q$94,'Rate Cards'!$D$8:$D$94,"Issuing",'Rate Cards'!$G$8:$G$94,"Seller")+H43*SUMIFS('Rate Cards'!$Q$8:$Q$94,'Rate Cards'!$D$8:$D$94,"Issuing",'Rate Cards'!$G$8:$G$94,"Cross-platform")</x:f>
        <x:v>30.063070776255707</x:v>
      </x:c>
      <x:c r="I48" s="696"/>
      <x:c r="J48" s="696" t="n">
        <x:f>SUM(D48,F48,H48)</x:f>
        <x:v>121.45228310502281</x:v>
      </x:c>
      <x:c r="K48" s="696"/>
      <x:c r="L48" s="5"/>
    </x:row>
    <x:row r="49">
      <x:c r="A49" s="5"/>
      <x:c r="B49" s="697" t="str">
        <x:v>Premier operating cost</x:v>
      </x:c>
      <x:c r="C49" s="697"/>
      <x:c r="D49" s="698" t="n">
        <x:f>SUMIFS('Rate Cards'!$R$8:$R$94,'Rate Cards'!$D$8:$D$94,"Issuing",'Rate Cards'!$G$8:$G$94,"Personal")+D43*SUMIFS('Rate Cards'!$R$8:$R$94,'Rate Cards'!$D$8:$D$94,"Issuing",'Rate Cards'!$G$8:$G$94,"Cross-platform")</x:f>
        <x:v>62.346974885844745</x:v>
      </x:c>
      <x:c r="E49" s="698"/>
      <x:c r="F49" s="698" t="n">
        <x:f>SUMIFS('Rate Cards'!$R$8:$R$94,'Rate Cards'!$D$8:$D$94,"Issuing",'Rate Cards'!$G$8:$G$94,"Household")+F43*SUMIFS('Rate Cards'!$R$8:$R$94,'Rate Cards'!$D$8:$D$94,"Issuing",'Rate Cards'!$G$8:$G$94,"Cross-platform")</x:f>
        <x:v>30.57348744292237</x:v>
      </x:c>
      <x:c r="G49" s="698"/>
      <x:c r="H49" s="698" t="n">
        <x:f>SUMIFS('Rate Cards'!$R$8:$R$94,'Rate Cards'!$D$8:$D$94,"Issuing",'Rate Cards'!$G$8:$G$94,"Seller")+H43*SUMIFS('Rate Cards'!$R$8:$R$94,'Rate Cards'!$D$8:$D$94,"Issuing",'Rate Cards'!$G$8:$G$94,"Cross-platform")</x:f>
        <x:v>30.57348744292237</x:v>
      </x:c>
      <x:c r="I49" s="698"/>
      <x:c r="J49" s="698" t="n">
        <x:f>SUM(D49,F49,H49)</x:f>
        <x:v>123.49394977168949</x:v>
      </x:c>
      <x:c r="K49" s="698"/>
      <x:c r="L49" s="5"/>
    </x:row>
    <x:row r="50">
      <x:c r="A50" s="5"/>
      <x:c r="B50" s="699" t="str">
        <x:v>Select contribution</x:v>
      </x:c>
      <x:c r="C50" s="699"/>
      <x:c r="D50" s="700" t="n">
        <x:f>D45-D46-D48</x:f>
        <x:v>46.673858447488584</x:v>
      </x:c>
      <x:c r="E50" s="700"/>
      <x:c r="F50" s="700" t="n">
        <x:f>F45-F46-F48</x:f>
        <x:v>23.936929223744293</x:v>
      </x:c>
      <x:c r="G50" s="700"/>
      <x:c r="H50" s="700" t="n">
        <x:f>H45-H46-H48</x:f>
        <x:v>23.936929223744293</x:v>
      </x:c>
      <x:c r="I50" s="700"/>
      <x:c r="J50" s="700" t="n">
        <x:f>SUM(D50,F50,H50)</x:f>
        <x:v>94.54771689497719</x:v>
      </x:c>
      <x:c r="K50" s="700"/>
      <x:c r="L50" s="5"/>
    </x:row>
    <x:row r="51">
      <x:c r="A51" s="5"/>
      <x:c r="B51" s="699" t="str">
        <x:v>Premier contribution</x:v>
      </x:c>
      <x:c r="C51" s="699"/>
      <x:c r="D51" s="700" t="n">
        <x:f>D45-D46-D47-D49</x:f>
        <x:v>-14.346974885844745</x:v>
      </x:c>
      <x:c r="E51" s="700"/>
      <x:c r="F51" s="700" t="n">
        <x:f>F45-F46-F47-F49</x:f>
        <x:v>-6.573487442922371</x:v>
      </x:c>
      <x:c r="G51" s="700"/>
      <x:c r="H51" s="700" t="n">
        <x:f>H45-H46-H47-H49</x:f>
        <x:v>-6.573487442922371</x:v>
      </x:c>
      <x:c r="I51" s="700"/>
      <x:c r="J51" s="700" t="n">
        <x:f>SUM(D51,F51,H51)</x:f>
        <x:v>-27.493949771689486</x:v>
      </x:c>
      <x:c r="K51" s="700"/>
      <x:c r="L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</x:row>
    <x:row r="53" ht="34" customHeight="1">
      <x:c r="A53" s="5"/>
      <x:c r="B53" s="671" t="str">
        <x:v>This workspace allocation includes Issuing-engine costs only. Membership, PayFac and shared-enterprise costs remain in their own management views.</x:v>
      </x:c>
      <x:c r="C53" s="671"/>
      <x:c r="D53" s="671"/>
      <x:c r="E53" s="671"/>
      <x:c r="F53" s="671"/>
      <x:c r="G53" s="671"/>
      <x:c r="H53" s="671"/>
      <x:c r="I53" s="671"/>
      <x:c r="J53" s="671"/>
      <x:c r="K53" s="671"/>
      <x:c r="L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</x:row>
    <x:row r="55" ht="24" customHeight="1">
      <x:c r="A55" s="5"/>
      <x:c r="B55" s="28" t="str">
        <x:v>Vendor and cost map</x:v>
      </x:c>
      <x:c r="C55" s="28"/>
      <x:c r="D55" s="28"/>
      <x:c r="E55" s="28"/>
      <x:c r="F55" s="28"/>
      <x:c r="G55" s="28"/>
      <x:c r="H55" s="28"/>
      <x:c r="I55" s="28"/>
      <x:c r="J55" s="28"/>
      <x:c r="K55" s="28"/>
      <x:c r="L55" s="5"/>
    </x:row>
    <x:row r="56" ht="43" customHeight="1">
      <x:c r="A56" s="5"/>
      <x:c r="B56" s="290" t="str">
        <x:v>Sponsor bank / BIN sponsor</x:v>
      </x:c>
      <x:c r="C56" s="290"/>
      <x:c r="D56" s="290"/>
      <x:c r="E56" s="5" t="str">
        <x:v>Legal issuer, oversight and network access</x:v>
      </x:c>
      <x:c r="F56" s="5"/>
      <x:c r="G56" s="5"/>
      <x:c r="H56" s="5"/>
      <x:c r="I56" s="5" t="str">
        <x:v>Program fees, minimums, reserves and revenue share</x:v>
      </x:c>
      <x:c r="J56" s="5"/>
      <x:c r="K56" s="5"/>
      <x:c r="L56" s="5"/>
    </x:row>
    <x:row r="57" ht="43" customHeight="1">
      <x:c r="A57" s="5"/>
      <x:c r="B57" s="292" t="str">
        <x:v>Card network</x:v>
      </x:c>
      <x:c r="C57" s="292"/>
      <x:c r="D57" s="292"/>
      <x:c r="E57" s="52" t="str">
        <x:v>Authorization, clearing, settlement and token rails</x:v>
      </x:c>
      <x:c r="F57" s="52"/>
      <x:c r="G57" s="52"/>
      <x:c r="H57" s="52"/>
      <x:c r="I57" s="52" t="str">
        <x:v>Assessments, cross-border and network-service charges</x:v>
      </x:c>
      <x:c r="J57" s="52"/>
      <x:c r="K57" s="52"/>
      <x:c r="L57" s="5"/>
    </x:row>
    <x:row r="58" ht="43" customHeight="1">
      <x:c r="A58" s="5"/>
      <x:c r="B58" s="290" t="str">
        <x:v>Issuer processor / program manager</x:v>
      </x:c>
      <x:c r="C58" s="290"/>
      <x:c r="D58" s="290"/>
      <x:c r="E58" s="5" t="str">
        <x:v>Account lifecycle, authorization, settlement and disputes</x:v>
      </x:c>
      <x:c r="F58" s="5"/>
      <x:c r="G58" s="5"/>
      <x:c r="H58" s="5"/>
      <x:c r="I58" s="5" t="str">
        <x:v>Setup, account, auth, transaction and minimum fees</x:v>
      </x:c>
      <x:c r="J58" s="5"/>
      <x:c r="K58" s="5"/>
      <x:c r="L58" s="5"/>
    </x:row>
    <x:row r="59" ht="43" customHeight="1">
      <x:c r="A59" s="5"/>
      <x:c r="B59" s="292" t="str">
        <x:v>Funding and settlement</x:v>
      </x:c>
      <x:c r="C59" s="292"/>
      <x:c r="D59" s="292"/>
      <x:c r="E59" s="52" t="str">
        <x:v>Finances receivables and network settlement</x:v>
      </x:c>
      <x:c r="F59" s="52"/>
      <x:c r="G59" s="52"/>
      <x:c r="H59" s="52"/>
      <x:c r="I59" s="52" t="str">
        <x:v>Funding rate, timing, liquidity and reserve costs</x:v>
      </x:c>
      <x:c r="J59" s="52"/>
      <x:c r="K59" s="52"/>
      <x:c r="L59" s="5"/>
    </x:row>
    <x:row r="60" ht="43" customHeight="1">
      <x:c r="A60" s="5"/>
      <x:c r="B60" s="290" t="str">
        <x:v>Fraud and decisioning</x:v>
      </x:c>
      <x:c r="C60" s="290"/>
      <x:c r="D60" s="290"/>
      <x:c r="E60" s="5" t="str">
        <x:v>Identity, authorization rules and monitoring</x:v>
      </x:c>
      <x:c r="F60" s="5"/>
      <x:c r="G60" s="5"/>
      <x:c r="H60" s="5"/>
      <x:c r="I60" s="5" t="str">
        <x:v>Per check, per auth, manual review and fraud loss</x:v>
      </x:c>
      <x:c r="J60" s="5"/>
      <x:c r="K60" s="5"/>
      <x:c r="L60" s="5"/>
    </x:row>
    <x:row r="61" ht="43" customHeight="1">
      <x:c r="A61" s="5"/>
      <x:c r="B61" s="292" t="str">
        <x:v>Physical / digital access</x:v>
      </x:c>
      <x:c r="C61" s="292"/>
      <x:c r="D61" s="292"/>
      <x:c r="E61" s="52" t="str">
        <x:v>Production, delivery, tokenization and lifecycle</x:v>
      </x:c>
      <x:c r="F61" s="52"/>
      <x:c r="G61" s="52"/>
      <x:c r="H61" s="52"/>
      <x:c r="I61" s="52" t="str">
        <x:v>Per credential, replacement, shipping and wallet fees</x:v>
      </x:c>
      <x:c r="J61" s="52"/>
      <x:c r="K61" s="52"/>
      <x:c r="L61" s="5"/>
    </x:row>
    <x:row r="62" ht="43" customHeight="1">
      <x:c r="A62" s="5"/>
      <x:c r="B62" s="290" t="str">
        <x:v>Bureau, disputes and collections</x:v>
      </x:c>
      <x:c r="C62" s="290"/>
      <x:c r="D62" s="290"/>
      <x:c r="E62" s="5" t="str">
        <x:v>Reporting, error handling and recovery</x:v>
      </x:c>
      <x:c r="F62" s="5"/>
      <x:c r="G62" s="5"/>
      <x:c r="H62" s="5"/>
      <x:c r="I62" s="5" t="str">
        <x:v>Per account, report, case and collection cost</x:v>
      </x:c>
      <x:c r="J62" s="5"/>
      <x:c r="K62" s="5"/>
      <x:c r="L62" s="5"/>
    </x:row>
    <x:row r="63" ht="43" customHeight="1">
      <x:c r="A63" s="5"/>
      <x:c r="B63" s="292" t="str">
        <x:v>Servicing</x:v>
      </x:c>
      <x:c r="C63" s="292"/>
      <x:c r="D63" s="292"/>
      <x:c r="E63" s="52" t="str">
        <x:v>Lost access, permissions, billing and general help</x:v>
      </x:c>
      <x:c r="F63" s="52"/>
      <x:c r="G63" s="52"/>
      <x:c r="H63" s="52"/>
      <x:c r="I63" s="52" t="str">
        <x:v>Per member, participant, contact or case</x:v>
      </x:c>
      <x:c r="J63" s="52"/>
      <x:c r="K63" s="52"/>
      <x:c r="L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</x:row>
    <x:row r="66" ht="31" customHeight="1">
      <x:c r="A66" s="5"/>
      <x:c r="B66" s="95" t="str">
        <x:v>Current contribution includes only the entered issuer-income, variable-cost and fixed-cost assumptions. Contracted vendor, funding, support and loss inputs remain necessary.</x:v>
      </x:c>
      <x:c r="C66" s="95"/>
      <x:c r="D66" s="95"/>
      <x:c r="E66" s="95"/>
      <x:c r="F66" s="95"/>
      <x:c r="G66" s="95"/>
      <x:c r="H66" s="95"/>
      <x:c r="I66" s="95"/>
      <x:c r="J66" s="95"/>
      <x:c r="K66" s="95"/>
      <x:c r="L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</x:row>
  </x:sheetData>
  <x:mergeCells>
    <x:mergeCell ref="B2:K2"/>
    <x:mergeCell ref="B3:K3"/>
    <x:mergeCell ref="B5:K5"/>
    <x:mergeCell ref="B7:K7"/>
    <x:mergeCell ref="B8:D8"/>
    <x:mergeCell ref="E8:K8"/>
    <x:mergeCell ref="B9:D9"/>
    <x:mergeCell ref="E9:K9"/>
    <x:mergeCell ref="B10:D10"/>
    <x:mergeCell ref="E10:K10"/>
    <x:mergeCell ref="B11:D11"/>
    <x:mergeCell ref="E11:K11"/>
    <x:mergeCell ref="B12:D12"/>
    <x:mergeCell ref="E12:K12"/>
    <x:mergeCell ref="B13:D13"/>
    <x:mergeCell ref="E13:K13"/>
    <x:mergeCell ref="B14:D14"/>
    <x:mergeCell ref="E14:K14"/>
    <x:mergeCell ref="B18:K18"/>
    <x:mergeCell ref="B20:C20"/>
    <x:mergeCell ref="D20:E20"/>
    <x:mergeCell ref="F20:G20"/>
    <x:mergeCell ref="H20:I20"/>
    <x:mergeCell ref="J20:K20"/>
    <x:mergeCell ref="B21:C21"/>
    <x:mergeCell ref="D21:E21"/>
    <x:mergeCell ref="F21:G21"/>
    <x:mergeCell ref="H21:I21"/>
    <x:mergeCell ref="J21:K21"/>
    <x:mergeCell ref="B22:C22"/>
    <x:mergeCell ref="D22:E22"/>
    <x:mergeCell ref="F22:G22"/>
    <x:mergeCell ref="H22:I22"/>
    <x:mergeCell ref="J22:K22"/>
    <x:mergeCell ref="B23:C23"/>
    <x:mergeCell ref="D23:E23"/>
    <x:mergeCell ref="F23:G23"/>
    <x:mergeCell ref="H23:I23"/>
    <x:mergeCell ref="J23:K23"/>
    <x:mergeCell ref="B24:C24"/>
    <x:mergeCell ref="D24:E24"/>
    <x:mergeCell ref="F24:G24"/>
    <x:mergeCell ref="H24:I24"/>
    <x:mergeCell ref="J24:K24"/>
    <x:mergeCell ref="B25:C25"/>
    <x:mergeCell ref="D25:E25"/>
    <x:mergeCell ref="F25:G25"/>
    <x:mergeCell ref="H25:I25"/>
    <x:mergeCell ref="J25:K25"/>
    <x:mergeCell ref="B26:C26"/>
    <x:mergeCell ref="D26:E26"/>
    <x:mergeCell ref="F26:G26"/>
    <x:mergeCell ref="H26:I26"/>
    <x:mergeCell ref="J26:K26"/>
    <x:mergeCell ref="B30:K30"/>
    <x:mergeCell ref="B32:E32"/>
    <x:mergeCell ref="F32:G32"/>
    <x:mergeCell ref="I32:J32"/>
    <x:mergeCell ref="B33:E33"/>
    <x:mergeCell ref="F33:G33"/>
    <x:mergeCell ref="I33:J33"/>
    <x:mergeCell ref="B34:E34"/>
    <x:mergeCell ref="F34:G34"/>
    <x:mergeCell ref="I34:J34"/>
    <x:mergeCell ref="B35:E35"/>
    <x:mergeCell ref="F35:G35"/>
    <x:mergeCell ref="I35:J35"/>
    <x:mergeCell ref="B36:E36"/>
    <x:mergeCell ref="F36:G36"/>
    <x:mergeCell ref="I36:J36"/>
    <x:mergeCell ref="B37:E37"/>
    <x:mergeCell ref="F37:G37"/>
    <x:mergeCell ref="I37:J37"/>
    <x:mergeCell ref="B41:K41"/>
    <x:mergeCell ref="B43:C43"/>
    <x:mergeCell ref="D43:E43"/>
    <x:mergeCell ref="F43:G43"/>
    <x:mergeCell ref="H43:I43"/>
    <x:mergeCell ref="J43:K43"/>
    <x:mergeCell ref="B44:C44"/>
    <x:mergeCell ref="D44:E44"/>
    <x:mergeCell ref="F44:G44"/>
    <x:mergeCell ref="H44:I44"/>
    <x:mergeCell ref="J44:K44"/>
    <x:mergeCell ref="B45:C45"/>
    <x:mergeCell ref="D45:E45"/>
    <x:mergeCell ref="F45:G45"/>
    <x:mergeCell ref="H45:I45"/>
    <x:mergeCell ref="J45:K45"/>
    <x:mergeCell ref="B46:C46"/>
    <x:mergeCell ref="D46:E46"/>
    <x:mergeCell ref="F46:G46"/>
    <x:mergeCell ref="H46:I46"/>
    <x:mergeCell ref="J46:K46"/>
    <x:mergeCell ref="B47:C47"/>
    <x:mergeCell ref="D47:E47"/>
    <x:mergeCell ref="F47:G47"/>
    <x:mergeCell ref="H47:I47"/>
    <x:mergeCell ref="J47:K47"/>
    <x:mergeCell ref="B48:C48"/>
    <x:mergeCell ref="D48:E48"/>
    <x:mergeCell ref="F48:G48"/>
    <x:mergeCell ref="H48:I48"/>
    <x:mergeCell ref="J48:K48"/>
    <x:mergeCell ref="B49:C49"/>
    <x:mergeCell ref="D49:E49"/>
    <x:mergeCell ref="F49:G49"/>
    <x:mergeCell ref="H49:I49"/>
    <x:mergeCell ref="J49:K49"/>
    <x:mergeCell ref="B50:C50"/>
    <x:mergeCell ref="D50:E50"/>
    <x:mergeCell ref="F50:G50"/>
    <x:mergeCell ref="H50:I50"/>
    <x:mergeCell ref="J50:K50"/>
    <x:mergeCell ref="B51:C51"/>
    <x:mergeCell ref="D51:E51"/>
    <x:mergeCell ref="F51:G51"/>
    <x:mergeCell ref="H51:I51"/>
    <x:mergeCell ref="J51:K51"/>
    <x:mergeCell ref="B55:K55"/>
    <x:mergeCell ref="B56:D56"/>
    <x:mergeCell ref="E56:H56"/>
    <x:mergeCell ref="I56:K56"/>
    <x:mergeCell ref="B57:D57"/>
    <x:mergeCell ref="E57:H57"/>
    <x:mergeCell ref="I57:K57"/>
    <x:mergeCell ref="B58:D58"/>
    <x:mergeCell ref="E58:H58"/>
    <x:mergeCell ref="I58:K58"/>
    <x:mergeCell ref="B59:D59"/>
    <x:mergeCell ref="E59:H59"/>
    <x:mergeCell ref="I59:K59"/>
    <x:mergeCell ref="B60:D60"/>
    <x:mergeCell ref="E60:H60"/>
    <x:mergeCell ref="I60:K60"/>
    <x:mergeCell ref="B61:D61"/>
    <x:mergeCell ref="E61:H61"/>
    <x:mergeCell ref="I61:K61"/>
    <x:mergeCell ref="B62:D62"/>
    <x:mergeCell ref="E62:H62"/>
    <x:mergeCell ref="I62:K62"/>
    <x:mergeCell ref="B63:D63"/>
    <x:mergeCell ref="E63:H63"/>
    <x:mergeCell ref="I63:K63"/>
    <x:mergeCell ref="B66:K66"/>
    <x:mergeCell ref="B38:K38"/>
    <x:mergeCell ref="B53:K53"/>
    <x:mergeCell ref="B31:E31"/>
    <x:mergeCell ref="F31:G31"/>
    <x:mergeCell ref="I31:J31"/>
    <x:mergeCell ref="B42:C42"/>
    <x:mergeCell ref="D42:E42"/>
    <x:mergeCell ref="F42:G42"/>
    <x:mergeCell ref="H42:I42"/>
    <x:mergeCell ref="J42:K4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5" hidden="0" customWidth="1"/>
    <x:col min="3" max="3" width="21" hidden="0" customWidth="1"/>
    <x:col min="4" max="4" width="3" hidden="0" customWidth="1"/>
    <x:col min="5" max="5" width="21" hidden="0" customWidth="1"/>
    <x:col min="6" max="6" width="3" hidden="0" customWidth="1"/>
    <x:col min="7" max="7" width="21" hidden="0" customWidth="1"/>
    <x:col min="8" max="8" width="3" hidden="0" customWidth="1"/>
    <x:col min="9" max="9" width="21" hidden="0" customWidth="1"/>
    <x:col min="10" max="10" width="3" hidden="0" customWidth="1"/>
    <x:col min="11" max="11" width="21" hidden="0" customWidth="1"/>
    <x:col min="12" max="12" width="2.20000004768371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5"/>
      <x:c r="B2" s="12" t="str">
        <x:v>Data Model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5"/>
    </x:row>
    <x:row r="3" ht="24" customHeight="1">
      <x:c r="A3" s="5"/>
      <x:c r="B3" s="18" t="str">
        <x:v>A shared vocabulary and relationship model for workflows, reporting and controls.</x:v>
      </x:c>
      <x:c r="C3" s="18"/>
      <x:c r="D3" s="18"/>
      <x:c r="E3" s="18"/>
      <x:c r="F3" s="18"/>
      <x:c r="G3" s="18"/>
      <x:c r="H3" s="18"/>
      <x:c r="I3" s="18"/>
      <x:c r="J3" s="18"/>
      <x:c r="K3" s="18"/>
      <x:c r="L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31" customHeight="1">
      <x:c r="A5" s="5"/>
      <x:c r="B5" s="111" t="str">
        <x:v>The model follows a ServiceNow-like separation of capability, service, offering, subscription, instance and case, adapted to this financial platform.</x:v>
      </x:c>
      <x:c r="C5" s="111"/>
      <x:c r="D5" s="111"/>
      <x:c r="E5" s="111"/>
      <x:c r="F5" s="111"/>
      <x:c r="G5" s="111"/>
      <x:c r="H5" s="111"/>
      <x:c r="I5" s="111"/>
      <x:c r="J5" s="111"/>
      <x:c r="K5" s="111"/>
      <x:c r="L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</x:row>
    <x:row r="7" ht="24" customHeight="1">
      <x:c r="A7" s="5"/>
      <x:c r="B7" s="28" t="str">
        <x:v>Core objects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5"/>
    </x:row>
    <x:row r="8" ht="25" customHeight="1">
      <x:c r="A8" s="5"/>
      <x:c r="B8" s="35" t="str">
        <x:v>OBJECT</x:v>
      </x:c>
      <x:c r="C8" s="35"/>
      <x:c r="D8" s="35" t="str">
        <x:v>WHAT IT REPRESENTS</x:v>
      </x:c>
      <x:c r="E8" s="35"/>
      <x:c r="F8" s="35" t="str">
        <x:v>KEY RELATIONSHIPS</x:v>
      </x:c>
      <x:c r="G8" s="35"/>
      <x:c r="H8" s="35" t="str">
        <x:v>LIFECYCLE / STATE</x:v>
      </x:c>
      <x:c r="I8" s="35"/>
      <x:c r="J8" s="35" t="str">
        <x:v>PRIVACY / OWNERSHIP</x:v>
      </x:c>
      <x:c r="K8" s="35"/>
      <x:c r="L8" s="5"/>
    </x:row>
    <x:row r="9" ht="52" customHeight="1">
      <x:c r="A9" s="5"/>
      <x:c r="B9" s="114" t="str">
        <x:v>Member</x:v>
      </x:c>
      <x:c r="C9" s="114"/>
      <x:c r="D9" s="53" t="str">
        <x:v>Verified person and primary relationship</x:v>
      </x:c>
      <x:c r="E9" s="53"/>
      <x:c r="F9" s="53" t="str">
        <x:v>Membership, Household, Seller, accounts, cases</x:v>
      </x:c>
      <x:c r="G9" s="53"/>
      <x:c r="H9" s="53" t="str">
        <x:v>Prospect → Active → Restricted → Closed</x:v>
      </x:c>
      <x:c r="I9" s="53"/>
      <x:c r="J9" s="53" t="str">
        <x:v>Person-owned profile</x:v>
      </x:c>
      <x:c r="K9" s="53"/>
      <x:c r="L9" s="5"/>
    </x:row>
    <x:row r="10" ht="52" customHeight="1">
      <x:c r="A10" s="5"/>
      <x:c r="B10" s="116" t="str">
        <x:v>Membership</x:v>
      </x:c>
      <x:c r="C10" s="116"/>
      <x:c r="D10" s="40" t="str">
        <x:v>Select or Premier entitlement</x:v>
      </x:c>
      <x:c r="E10" s="40"/>
      <x:c r="F10" s="40" t="str">
        <x:v>Member, benefits, renewal, services</x:v>
      </x:c>
      <x:c r="G10" s="40"/>
      <x:c r="H10" s="40" t="str">
        <x:v>Pending → Active → Renewing → Ended</x:v>
      </x:c>
      <x:c r="I10" s="40"/>
      <x:c r="J10" s="40" t="str">
        <x:v>Primary member; household scope defined</x:v>
      </x:c>
      <x:c r="K10" s="40"/>
      <x:c r="L10" s="5"/>
    </x:row>
    <x:row r="11" ht="52" customHeight="1">
      <x:c r="A11" s="5"/>
      <x:c r="B11" s="114" t="str">
        <x:v>Household</x:v>
      </x:c>
      <x:c r="C11" s="114"/>
      <x:c r="D11" s="53" t="str">
        <x:v>Named relationship and permission container</x:v>
      </x:c>
      <x:c r="E11" s="53"/>
      <x:c r="F11" s="53" t="str">
        <x:v>Members, roles, budgets, shared access</x:v>
      </x:c>
      <x:c r="G11" s="53"/>
      <x:c r="H11" s="53" t="str">
        <x:v>Draft → Active → Paused → Closed</x:v>
      </x:c>
      <x:c r="I11" s="53"/>
      <x:c r="J11" s="53" t="str">
        <x:v>Shared by explicit permission</x:v>
      </x:c>
      <x:c r="K11" s="53"/>
      <x:c r="L11" s="5"/>
    </x:row>
    <x:row r="12" ht="52" customHeight="1">
      <x:c r="A12" s="5"/>
      <x:c r="B12" s="116" t="str">
        <x:v>Seller profile</x:v>
      </x:c>
      <x:c r="C12" s="116"/>
      <x:c r="D12" s="40" t="str">
        <x:v>Approved person or business accepting payments</x:v>
      </x:c>
      <x:c r="E12" s="40"/>
      <x:c r="F12" s="40" t="str">
        <x:v>Member, agreement, payouts, cases</x:v>
      </x:c>
      <x:c r="G12" s="40"/>
      <x:c r="H12" s="40" t="str">
        <x:v>Applied → Review → Active → Restricted → Closed</x:v>
      </x:c>
      <x:c r="I12" s="40"/>
      <x:c r="J12" s="40" t="str">
        <x:v>Seller-owned commercial record</x:v>
      </x:c>
      <x:c r="K12" s="40"/>
      <x:c r="L12" s="5"/>
    </x:row>
    <x:row r="13" ht="52" customHeight="1">
      <x:c r="A13" s="5"/>
      <x:c r="B13" s="114" t="str">
        <x:v>Service offering</x:v>
      </x:c>
      <x:c r="C13" s="114"/>
      <x:c r="D13" s="53" t="str">
        <x:v>Consumable package with price and commitments</x:v>
      </x:c>
      <x:c r="E13" s="53"/>
      <x:c r="F13" s="53" t="str">
        <x:v>Service, membership, subscription</x:v>
      </x:c>
      <x:c r="G13" s="53"/>
      <x:c r="H13" s="53" t="str">
        <x:v>Design → Available → Retired</x:v>
      </x:c>
      <x:c r="I13" s="53"/>
      <x:c r="J13" s="53" t="str">
        <x:v>Provider-owned catalog record</x:v>
      </x:c>
      <x:c r="K13" s="53"/>
      <x:c r="L13" s="5"/>
    </x:row>
    <x:row r="14" ht="52" customHeight="1">
      <x:c r="A14" s="5"/>
      <x:c r="B14" s="116" t="str">
        <x:v>Service subscription</x:v>
      </x:c>
      <x:c r="C14" s="116"/>
      <x:c r="D14" s="40" t="str">
        <x:v>Customer entitlement to an offering</x:v>
      </x:c>
      <x:c r="E14" s="40"/>
      <x:c r="F14" s="40" t="str">
        <x:v>Member/Seller, offering, service instance</x:v>
      </x:c>
      <x:c r="G14" s="40"/>
      <x:c r="H14" s="40" t="str">
        <x:v>Requested → Active → Suspended → Ended</x:v>
      </x:c>
      <x:c r="I14" s="40"/>
      <x:c r="J14" s="40" t="str">
        <x:v>Customer-specific</x:v>
      </x:c>
      <x:c r="K14" s="40"/>
      <x:c r="L14" s="5"/>
    </x:row>
    <x:row r="15" ht="52" customHeight="1">
      <x:c r="A15" s="5"/>
      <x:c r="B15" s="114" t="str">
        <x:v>Spending account</x:v>
      </x:c>
      <x:c r="C15" s="114"/>
      <x:c r="D15" s="53" t="str">
        <x:v>Consumer or commercial payment obligation</x:v>
      </x:c>
      <x:c r="E15" s="53"/>
      <x:c r="F15" s="53" t="str">
        <x:v>Owner, participants, collateral, transactions</x:v>
      </x:c>
      <x:c r="G15" s="53"/>
      <x:c r="H15" s="53" t="str">
        <x:v>Applied → Active → Restricted → Closed</x:v>
      </x:c>
      <x:c r="I15" s="53"/>
      <x:c r="J15" s="53" t="str">
        <x:v>Owner and authorized users</x:v>
      </x:c>
      <x:c r="K15" s="53"/>
      <x:c r="L15" s="5"/>
    </x:row>
    <x:row r="16" ht="52" customHeight="1">
      <x:c r="A16" s="5"/>
      <x:c r="B16" s="116" t="str">
        <x:v>Payment / purchase</x:v>
      </x:c>
      <x:c r="C16" s="116"/>
      <x:c r="D16" s="40" t="str">
        <x:v>Money movement event</x:v>
      </x:c>
      <x:c r="E16" s="40"/>
      <x:c r="F16" s="40" t="str">
        <x:v>Seller, account, fee, payout, case, reward</x:v>
      </x:c>
      <x:c r="G16" s="40"/>
      <x:c r="H16" s="40" t="str">
        <x:v>Initiated → Authorized → Settled / Reversed</x:v>
      </x:c>
      <x:c r="I16" s="40"/>
      <x:c r="J16" s="40" t="str">
        <x:v>Purpose and responsible party</x:v>
      </x:c>
      <x:c r="K16" s="40"/>
      <x:c r="L16" s="5"/>
    </x:row>
    <x:row r="17" ht="52" customHeight="1">
      <x:c r="A17" s="5"/>
      <x:c r="B17" s="114" t="str">
        <x:v>Payout</x:v>
      </x:c>
      <x:c r="C17" s="114"/>
      <x:c r="D17" s="53" t="str">
        <x:v>Transfer of available Seller proceeds</x:v>
      </x:c>
      <x:c r="E17" s="53"/>
      <x:c r="F17" s="53" t="str">
        <x:v>Seller, payments, reserve, bank account</x:v>
      </x:c>
      <x:c r="G17" s="53"/>
      <x:c r="H17" s="53" t="str">
        <x:v>Pending → Available → Sent → Failed / Returned</x:v>
      </x:c>
      <x:c r="I17" s="53"/>
      <x:c r="J17" s="53" t="str">
        <x:v>Seller-owned</x:v>
      </x:c>
      <x:c r="K17" s="53"/>
      <x:c r="L17" s="5"/>
    </x:row>
    <x:row r="18" ht="52" customHeight="1">
      <x:c r="A18" s="5"/>
      <x:c r="B18" s="116" t="str">
        <x:v>Reward</x:v>
      </x:c>
      <x:c r="C18" s="116"/>
      <x:c r="D18" s="40" t="str">
        <x:v>Base cashback or Premier bonus obligation</x:v>
      </x:c>
      <x:c r="E18" s="40"/>
      <x:c r="F18" s="40" t="str">
        <x:v>Membership, transaction, cap, credit</x:v>
      </x:c>
      <x:c r="G18" s="40"/>
      <x:c r="H18" s="40" t="str">
        <x:v>Earned → Pending → Credited → Reversed</x:v>
      </x:c>
      <x:c r="I18" s="40"/>
      <x:c r="J18" s="40" t="str">
        <x:v>Assigned to correct underlying account</x:v>
      </x:c>
      <x:c r="K18" s="40"/>
      <x:c r="L18" s="5"/>
    </x:row>
    <x:row r="19" ht="52" customHeight="1">
      <x:c r="A19" s="5"/>
      <x:c r="B19" s="114" t="str">
        <x:v>Case / task</x:v>
      </x:c>
      <x:c r="C19" s="114"/>
      <x:c r="D19" s="53" t="str">
        <x:v>Work to activate, change or resolve a service</x:v>
      </x:c>
      <x:c r="E19" s="53"/>
      <x:c r="F19" s="53" t="str">
        <x:v>Member, service, account, transaction, owner</x:v>
      </x:c>
      <x:c r="G19" s="53"/>
      <x:c r="H19" s="53" t="str">
        <x:v>New → Triage → Working → Waiting → Resolved → Closed</x:v>
      </x:c>
      <x:c r="I19" s="53"/>
      <x:c r="J19" s="53" t="str">
        <x:v>Role-based operational access</x:v>
      </x:c>
      <x:c r="K19" s="53"/>
      <x:c r="L19" s="5"/>
    </x:row>
    <x:row r="20" ht="52" customHeight="1">
      <x:c r="A20" s="5"/>
      <x:c r="B20" s="116" t="str">
        <x:v>Vendor contract</x:v>
      </x:c>
      <x:c r="C20" s="116"/>
      <x:c r="D20" s="40" t="str">
        <x:v>Bank, network, processor or service-provider terms</x:v>
      </x:c>
      <x:c r="E20" s="40"/>
      <x:c r="F20" s="40" t="str">
        <x:v>Service, cost, SLA, reserve, revenue share</x:v>
      </x:c>
      <x:c r="G20" s="40"/>
      <x:c r="H20" s="40" t="str">
        <x:v>Draft → Approved → Active → Expired</x:v>
      </x:c>
      <x:c r="I20" s="40"/>
      <x:c r="J20" s="40" t="str">
        <x:v>Confidential management record</x:v>
      </x:c>
      <x:c r="K20" s="40"/>
      <x:c r="L20" s="5"/>
    </x:row>
    <x:row r="21" ht="48" customHeight="1">
      <x:c r="A21" s="5"/>
      <x:c r="B21" s="719" t="str">
        <x:v>Cost center</x:v>
      </x:c>
      <x:c r="C21" s="719"/>
      <x:c r="D21" s="470" t="str">
        <x:v>Organizational owner of expense</x:v>
      </x:c>
      <x:c r="E21" s="470"/>
      <x:c r="F21" s="470" t="str">
        <x:v>Cost element, value stream, service, owner</x:v>
      </x:c>
      <x:c r="G21" s="470"/>
      <x:c r="H21" s="470" t="str">
        <x:v>Planned → Active → Closed</x:v>
      </x:c>
      <x:c r="I21" s="470"/>
      <x:c r="J21" s="470" t="str">
        <x:v>Management-owned</x:v>
      </x:c>
      <x:c r="K21" s="470"/>
      <x:c r="L21" s="5"/>
    </x:row>
    <x:row r="22" ht="48" customHeight="1">
      <x:c r="A22" s="5"/>
      <x:c r="B22" s="720" t="str">
        <x:v>Cost element</x:v>
      </x:c>
      <x:c r="C22" s="720"/>
      <x:c r="D22" s="464" t="str">
        <x:v>A specific type of expense</x:v>
      </x:c>
      <x:c r="E22" s="464"/>
      <x:c r="F22" s="464" t="str">
        <x:v>Vendor contract, rate card, service, cost center</x:v>
      </x:c>
      <x:c r="G22" s="464"/>
      <x:c r="H22" s="464" t="str">
        <x:v>Draft → Approved → Retired</x:v>
      </x:c>
      <x:c r="I22" s="464"/>
      <x:c r="J22" s="464" t="str">
        <x:v>Management-owned</x:v>
      </x:c>
      <x:c r="K22" s="464"/>
      <x:c r="L22" s="5"/>
    </x:row>
    <x:row r="23" ht="48" customHeight="1">
      <x:c r="A23" s="5"/>
      <x:c r="B23" s="719" t="str">
        <x:v>Cost driver</x:v>
      </x:c>
      <x:c r="C23" s="719"/>
      <x:c r="D23" s="470" t="str">
        <x:v>The measured activity that causes cost</x:v>
      </x:c>
      <x:c r="E23" s="470"/>
      <x:c r="F23" s="470" t="str">
        <x:v>Scenario, service event, transaction, case, account</x:v>
      </x:c>
      <x:c r="G23" s="470"/>
      <x:c r="H23" s="470" t="str">
        <x:v>Defined → Measured → Reconciled</x:v>
      </x:c>
      <x:c r="I23" s="470"/>
      <x:c r="J23" s="470" t="str">
        <x:v>Operational / financial data</x:v>
      </x:c>
      <x:c r="K23" s="470"/>
      <x:c r="L23" s="5"/>
    </x:row>
    <x:row r="24" ht="48" customHeight="1">
      <x:c r="A24" s="5"/>
      <x:c r="B24" s="720" t="str">
        <x:v>Rate card</x:v>
      </x:c>
      <x:c r="C24" s="720"/>
      <x:c r="D24" s="724" t="str">
        <x:v>Planning, contracted or actual price per driver unit</x:v>
      </x:c>
      <x:c r="E24" s="724"/>
      <x:c r="F24" s="724" t="str">
        <x:v>Cost element, vendor, effective period</x:v>
      </x:c>
      <x:c r="G24" s="724"/>
      <x:c r="H24" s="724" t="str">
        <x:v>Planning → Contracted → Actual / Expired</x:v>
      </x:c>
      <x:c r="I24" s="724"/>
      <x:c r="J24" s="724" t="str">
        <x:v>Confidential management record</x:v>
      </x:c>
      <x:c r="K24" s="724"/>
      <x:c r="L24" s="5"/>
    </x:row>
    <x:row r="25" ht="48" customHeight="1">
      <x:c r="A25" s="5"/>
      <x:c r="B25" s="719" t="str">
        <x:v>Cost allocation</x:v>
      </x:c>
      <x:c r="C25" s="719"/>
      <x:c r="D25" s="727" t="str">
        <x:v>Rule assigning shared cost to services or plans</x:v>
      </x:c>
      <x:c r="E25" s="470"/>
      <x:c r="F25" s="470" t="str">
        <x:v>Cost center, service, workspace, value stream</x:v>
      </x:c>
      <x:c r="G25" s="470"/>
      <x:c r="H25" s="470" t="str">
        <x:v>Draft → Approved → Run → Reviewed</x:v>
      </x:c>
      <x:c r="I25" s="470"/>
      <x:c r="J25" s="470" t="str">
        <x:v>Management-owned</x:v>
      </x:c>
      <x:c r="K25" s="470"/>
      <x:c r="L25" s="5"/>
    </x:row>
    <x:row r="26" ht="48" customHeight="1">
      <x:c r="A26" s="5"/>
      <x:c r="B26" s="720" t="str">
        <x:v>Cost period / scenario</x:v>
      </x:c>
      <x:c r="C26" s="720"/>
      <x:c r="D26" s="724" t="str">
        <x:v>Planning, contracted or actual costing basis</x:v>
      </x:c>
      <x:c r="E26" s="464"/>
      <x:c r="F26" s="464" t="str">
        <x:v>Rate cards, drivers, cost center results</x:v>
      </x:c>
      <x:c r="G26" s="464"/>
      <x:c r="H26" s="464" t="str">
        <x:v>Open → Locked → Baseline / Closed</x:v>
      </x:c>
      <x:c r="I26" s="464"/>
      <x:c r="J26" s="464" t="str">
        <x:v>Management-owned</x:v>
      </x:c>
      <x:c r="K26" s="464"/>
      <x:c r="L26" s="5"/>
    </x:row>
    <x:row r="27" ht="34" customHeight="1">
      <x:c r="A27" s="5"/>
      <x:c r="B27" s="294"/>
      <x:c r="C27" s="294"/>
      <x:c r="D27" s="294"/>
      <x:c r="E27" s="66"/>
      <x:c r="F27" s="66"/>
      <x:c r="G27" s="66"/>
      <x:c r="H27" s="66"/>
      <x:c r="I27" s="66"/>
      <x:c r="J27" s="66"/>
      <x:c r="K27" s="66"/>
      <x:c r="L27" s="5"/>
    </x:row>
    <x:row r="28" ht="34" customHeight="1">
      <x:c r="A28" s="5"/>
      <x:c r="B28" s="296"/>
      <x:c r="C28" s="296"/>
      <x:c r="D28" s="296"/>
      <x:c r="E28" s="76"/>
      <x:c r="F28" s="76"/>
      <x:c r="G28" s="76"/>
      <x:c r="H28" s="76"/>
      <x:c r="I28" s="76"/>
      <x:c r="J28" s="76"/>
      <x:c r="K28" s="76"/>
      <x:c r="L28" s="5"/>
    </x:row>
    <x:row r="29" ht="34" customHeight="1">
      <x:c r="A29" s="5"/>
      <x:c r="B29" s="459" t="str">
        <x:v>Relationship rules</x:v>
      </x:c>
      <x:c r="C29" s="459"/>
      <x:c r="D29" s="459"/>
      <x:c r="E29" s="459"/>
      <x:c r="F29" s="459"/>
      <x:c r="G29" s="459"/>
      <x:c r="H29" s="459"/>
      <x:c r="I29" s="459"/>
      <x:c r="J29" s="459"/>
      <x:c r="K29" s="459"/>
      <x:c r="L29" s="5"/>
    </x:row>
    <x:row r="30" ht="33" customHeight="1">
      <x:c r="A30" s="5"/>
      <x:c r="B30" s="722" t="str">
        <x:v>One member, multiple contexts</x:v>
      </x:c>
      <x:c r="C30" s="722"/>
      <x:c r="D30" s="722"/>
      <x:c r="E30" s="623" t="str">
        <x:v>A person may use Personal, Household and Seller without duplicate customer identities.</x:v>
      </x:c>
      <x:c r="F30" s="623"/>
      <x:c r="G30" s="623"/>
      <x:c r="H30" s="623"/>
      <x:c r="I30" s="623"/>
      <x:c r="J30" s="623"/>
      <x:c r="K30" s="623"/>
      <x:c r="L30" s="5"/>
    </x:row>
    <x:row r="31" ht="33" customHeight="1">
      <x:c r="A31" s="5"/>
      <x:c r="B31" s="725" t="str">
        <x:v>One membership, defined scope</x:v>
      </x:c>
      <x:c r="C31" s="725"/>
      <x:c r="D31" s="725"/>
      <x:c r="E31" s="626" t="str">
        <x:v>The membership covers the primary member, approved household participants and the stated Seller scope.</x:v>
      </x:c>
      <x:c r="F31" s="626"/>
      <x:c r="G31" s="626"/>
      <x:c r="H31" s="626"/>
      <x:c r="I31" s="626"/>
      <x:c r="J31" s="626"/>
      <x:c r="K31" s="626"/>
      <x:c r="L31" s="5"/>
    </x:row>
    <x:row r="32" ht="33" customHeight="1">
      <x:c r="A32" s="5"/>
      <x:c r="B32" s="722" t="str">
        <x:v>Separate operational accounts</x:v>
      </x:c>
      <x:c r="C32" s="722"/>
      <x:c r="D32" s="722"/>
      <x:c r="E32" s="623" t="str">
        <x:v>Consumer, household, Seller acceptance and commercial spending remain separate records and agreements.</x:v>
      </x:c>
      <x:c r="F32" s="623"/>
      <x:c r="G32" s="623"/>
      <x:c r="H32" s="623"/>
      <x:c r="I32" s="623"/>
      <x:c r="J32" s="623"/>
      <x:c r="K32" s="623"/>
      <x:c r="L32" s="5"/>
    </x:row>
    <x:row r="33" ht="33" customHeight="1">
      <x:c r="A33" s="5"/>
      <x:c r="B33" s="725" t="str">
        <x:v>Every transaction has purpose</x:v>
      </x:c>
      <x:c r="C33" s="725"/>
      <x:c r="D33" s="725"/>
      <x:c r="E33" s="626" t="str">
        <x:v>A sale, personal transfer, household contribution and purchase must not share one ambiguous classification.</x:v>
      </x:c>
      <x:c r="F33" s="626"/>
      <x:c r="G33" s="626"/>
      <x:c r="H33" s="626"/>
      <x:c r="I33" s="626"/>
      <x:c r="J33" s="626"/>
      <x:c r="K33" s="626"/>
      <x:c r="L33" s="5"/>
    </x:row>
    <x:row r="34" ht="33" customHeight="1">
      <x:c r="A34" s="5"/>
      <x:c r="B34" s="722" t="str">
        <x:v>Every case has context</x:v>
      </x:c>
      <x:c r="C34" s="722"/>
      <x:c r="D34" s="722"/>
      <x:c r="E34" s="623" t="str">
        <x:v>A case points to the affected service, account, transaction, owner and current lifecycle stage.</x:v>
      </x:c>
      <x:c r="F34" s="623"/>
      <x:c r="G34" s="623"/>
      <x:c r="H34" s="623"/>
      <x:c r="I34" s="623"/>
      <x:c r="J34" s="623"/>
      <x:c r="K34" s="623"/>
      <x:c r="L34" s="5"/>
    </x:row>
    <x:row r="35" ht="33" customHeight="1">
      <x:c r="A35" s="5"/>
      <x:c r="B35" s="725" t="str">
        <x:v>Every cost has an owner</x:v>
      </x:c>
      <x:c r="C35" s="725"/>
      <x:c r="D35" s="725"/>
      <x:c r="E35" s="626" t="str">
        <x:v>Each expense maps to a cost center, cost element, driver, service, value stream and rate basis.</x:v>
      </x:c>
      <x:c r="F35" s="626"/>
      <x:c r="G35" s="626"/>
      <x:c r="H35" s="626"/>
      <x:c r="I35" s="626"/>
      <x:c r="J35" s="626"/>
      <x:c r="K35" s="626"/>
      <x:c r="L35" s="5"/>
    </x:row>
    <x:row r="36" ht="33" customHeight="1">
      <x:c r="A36" s="5"/>
      <x:c r="B36" s="722" t="str">
        <x:v>No mixed cost scenarios</x:v>
      </x:c>
      <x:c r="C36" s="722"/>
      <x:c r="D36" s="722"/>
      <x:c r="E36" s="623" t="str">
        <x:v>Planning, Contracted and Actual rates are reviewed separately; do not blend them unintentionally.</x:v>
      </x:c>
      <x:c r="F36" s="623"/>
      <x:c r="G36" s="623"/>
      <x:c r="H36" s="623"/>
      <x:c r="I36" s="623"/>
      <x:c r="J36" s="623"/>
      <x:c r="K36" s="623"/>
      <x:c r="L36" s="5"/>
    </x:row>
    <x:row r="37" ht="33" customHeight="1">
      <x:c r="A37" s="5"/>
      <x:c r="B37" s="725" t="str">
        <x:v>No duplicate vendor charges</x:v>
      </x:c>
      <x:c r="C37" s="725"/>
      <x:c r="D37" s="725"/>
      <x:c r="E37" s="626" t="str">
        <x:v>Bundled or alternative fees must be disabled so the same supplier function is not charged twice.</x:v>
      </x:c>
      <x:c r="F37" s="626"/>
      <x:c r="G37" s="626"/>
      <x:c r="H37" s="626"/>
      <x:c r="I37" s="626"/>
      <x:c r="J37" s="626"/>
      <x:c r="K37" s="626"/>
      <x:c r="L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</x:row>
  </x:sheetData>
  <x:mergeCells>
    <x:mergeCell ref="B2:K2"/>
    <x:mergeCell ref="B3:K3"/>
    <x:mergeCell ref="B5:K5"/>
    <x:mergeCell ref="B7:K7"/>
    <x:mergeCell ref="B9:C9"/>
    <x:mergeCell ref="D9:E9"/>
    <x:mergeCell ref="F9:G9"/>
    <x:mergeCell ref="H9:I9"/>
    <x:mergeCell ref="J9:K9"/>
    <x:mergeCell ref="B10:C10"/>
    <x:mergeCell ref="D10:E10"/>
    <x:mergeCell ref="F10:G10"/>
    <x:mergeCell ref="H10:I10"/>
    <x:mergeCell ref="J10:K10"/>
    <x:mergeCell ref="B11:C11"/>
    <x:mergeCell ref="D11:E11"/>
    <x:mergeCell ref="F11:G11"/>
    <x:mergeCell ref="H11:I11"/>
    <x:mergeCell ref="J11:K11"/>
    <x:mergeCell ref="B12:C12"/>
    <x:mergeCell ref="D12:E12"/>
    <x:mergeCell ref="F12:G12"/>
    <x:mergeCell ref="H12:I12"/>
    <x:mergeCell ref="J12:K12"/>
    <x:mergeCell ref="B13:C13"/>
    <x:mergeCell ref="D13:E13"/>
    <x:mergeCell ref="F13:G13"/>
    <x:mergeCell ref="H13:I13"/>
    <x:mergeCell ref="J13:K13"/>
    <x:mergeCell ref="B14:C14"/>
    <x:mergeCell ref="D14:E14"/>
    <x:mergeCell ref="F14:G14"/>
    <x:mergeCell ref="H14:I14"/>
    <x:mergeCell ref="J14:K14"/>
    <x:mergeCell ref="B15:C15"/>
    <x:mergeCell ref="D15:E15"/>
    <x:mergeCell ref="F15:G15"/>
    <x:mergeCell ref="H15:I15"/>
    <x:mergeCell ref="J15:K15"/>
    <x:mergeCell ref="B16:C16"/>
    <x:mergeCell ref="D16:E16"/>
    <x:mergeCell ref="F16:G16"/>
    <x:mergeCell ref="H16:I16"/>
    <x:mergeCell ref="J16:K16"/>
    <x:mergeCell ref="B17:C17"/>
    <x:mergeCell ref="D17:E17"/>
    <x:mergeCell ref="F17:G17"/>
    <x:mergeCell ref="H17:I17"/>
    <x:mergeCell ref="J17:K17"/>
    <x:mergeCell ref="B18:C18"/>
    <x:mergeCell ref="D18:E18"/>
    <x:mergeCell ref="F18:G18"/>
    <x:mergeCell ref="H18:I18"/>
    <x:mergeCell ref="J18:K18"/>
    <x:mergeCell ref="B19:C19"/>
    <x:mergeCell ref="D19:E19"/>
    <x:mergeCell ref="F19:G19"/>
    <x:mergeCell ref="H19:I19"/>
    <x:mergeCell ref="J19:K19"/>
    <x:mergeCell ref="B20:C20"/>
    <x:mergeCell ref="D20:E20"/>
    <x:mergeCell ref="F20:G20"/>
    <x:mergeCell ref="H20:I20"/>
    <x:mergeCell ref="J20:K20"/>
    <x:mergeCell ref="B27:D27"/>
    <x:mergeCell ref="E27:K27"/>
    <x:mergeCell ref="B28:D28"/>
    <x:mergeCell ref="E28:K28"/>
    <x:mergeCell ref="B29:D29"/>
    <x:mergeCell ref="E29:K29"/>
    <x:mergeCell ref="B30:D30"/>
    <x:mergeCell ref="E30:K30"/>
    <x:mergeCell ref="B29:K29"/>
    <x:mergeCell ref="B31:D31"/>
    <x:mergeCell ref="E31:K31"/>
    <x:mergeCell ref="B32:D32"/>
    <x:mergeCell ref="E32:K32"/>
    <x:mergeCell ref="B33:D33"/>
    <x:mergeCell ref="E33:K33"/>
    <x:mergeCell ref="B34:D34"/>
    <x:mergeCell ref="E34:K34"/>
    <x:mergeCell ref="B35:D35"/>
    <x:mergeCell ref="E35:K35"/>
    <x:mergeCell ref="B36:D36"/>
    <x:mergeCell ref="E36:K36"/>
    <x:mergeCell ref="B37:D37"/>
    <x:mergeCell ref="E37:K37"/>
    <x:mergeCell ref="B21:C21"/>
    <x:mergeCell ref="D21:E21"/>
    <x:mergeCell ref="F21:G21"/>
    <x:mergeCell ref="H21:I21"/>
    <x:mergeCell ref="J21:K21"/>
    <x:mergeCell ref="B22:C22"/>
    <x:mergeCell ref="D22:E22"/>
    <x:mergeCell ref="F22:G22"/>
    <x:mergeCell ref="H22:I22"/>
    <x:mergeCell ref="J22:K22"/>
    <x:mergeCell ref="B23:C23"/>
    <x:mergeCell ref="D23:E23"/>
    <x:mergeCell ref="F23:G23"/>
    <x:mergeCell ref="H23:I23"/>
    <x:mergeCell ref="J23:K23"/>
    <x:mergeCell ref="B24:C24"/>
    <x:mergeCell ref="D24:E24"/>
    <x:mergeCell ref="F24:G24"/>
    <x:mergeCell ref="H24:I24"/>
    <x:mergeCell ref="J24:K24"/>
    <x:mergeCell ref="B25:C25"/>
    <x:mergeCell ref="D25:E25"/>
    <x:mergeCell ref="F25:G25"/>
    <x:mergeCell ref="H25:I25"/>
    <x:mergeCell ref="J25:K25"/>
    <x:mergeCell ref="B26:C26"/>
    <x:mergeCell ref="D26:E26"/>
    <x:mergeCell ref="F26:G26"/>
    <x:mergeCell ref="H26:I26"/>
    <x:mergeCell ref="J26:K2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5" hidden="0" customWidth="1"/>
    <x:col min="3" max="3" width="21" hidden="0" customWidth="1"/>
    <x:col min="4" max="4" width="3" hidden="0" customWidth="1"/>
    <x:col min="5" max="5" width="21" hidden="0" customWidth="1"/>
    <x:col min="6" max="6" width="3" hidden="0" customWidth="1"/>
    <x:col min="7" max="7" width="21" hidden="0" customWidth="1"/>
    <x:col min="8" max="8" width="3" hidden="0" customWidth="1"/>
    <x:col min="9" max="9" width="21" hidden="0" customWidth="1"/>
    <x:col min="10" max="10" width="3" hidden="0" customWidth="1"/>
    <x:col min="11" max="11" width="21" hidden="0" customWidth="1"/>
    <x:col min="12" max="12" width="2.20000004768371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5"/>
      <x:c r="B2" s="12" t="str">
        <x:v>Inputs and assumptions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5"/>
    </x:row>
    <x:row r="3" ht="24" customHeight="1">
      <x:c r="A3" s="5"/>
      <x:c r="B3" s="18" t="str">
        <x:v>One source of truth for pricing, costs, spend mix and operational KPIs.</x:v>
      </x:c>
      <x:c r="C3" s="18"/>
      <x:c r="D3" s="18"/>
      <x:c r="E3" s="18"/>
      <x:c r="F3" s="18"/>
      <x:c r="G3" s="18"/>
      <x:c r="H3" s="18"/>
      <x:c r="I3" s="18"/>
      <x:c r="J3" s="18"/>
      <x:c r="K3" s="18"/>
      <x:c r="L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31" customHeight="1">
      <x:c r="A5" s="5"/>
      <x:c r="B5" s="23" t="str">
        <x:v>BLUE = editable input  •  GREEN = linked result  •  YELLOW = missing or unconfirmed</x:v>
      </x:c>
      <x:c r="C5" s="23"/>
      <x:c r="D5" s="23"/>
      <x:c r="E5" s="23"/>
      <x:c r="F5" s="23"/>
      <x:c r="G5" s="23"/>
      <x:c r="H5" s="23"/>
      <x:c r="I5" s="23"/>
      <x:c r="J5" s="23"/>
      <x:c r="K5" s="23"/>
      <x:c r="L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</x:row>
    <x:row r="7" ht="24" customHeight="1">
      <x:c r="A7" s="5"/>
      <x:c r="B7" s="28" t="str">
        <x:v>1. Membership and customer terms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5"/>
    </x:row>
    <x:row r="8" ht="25" customHeight="1">
      <x:c r="A8" s="5"/>
      <x:c r="B8" s="35" t="str">
        <x:v>TERM</x:v>
      </x:c>
      <x:c r="C8" s="35"/>
      <x:c r="D8" s="35"/>
      <x:c r="E8" s="35"/>
      <x:c r="F8" s="35" t="str">
        <x:v>SELECT</x:v>
      </x:c>
      <x:c r="G8" s="35"/>
      <x:c r="H8" s="35"/>
      <x:c r="I8" s="35" t="str">
        <x:v>PREMIER</x:v>
      </x:c>
      <x:c r="J8" s="35"/>
      <x:c r="K8" s="35" t="str">
        <x:v>STATUS</x:v>
      </x:c>
      <x:c r="L8" s="5"/>
    </x:row>
    <x:row r="9" ht="28" customHeight="1">
      <x:c r="A9" s="5"/>
      <x:c r="B9" s="41" t="str">
        <x:v>Annual membership</x:v>
      </x:c>
      <x:c r="C9" s="41"/>
      <x:c r="D9" s="41"/>
      <x:c r="E9" s="41"/>
      <x:c r="F9" s="47" t="n">
        <x:v>120</x:v>
      </x:c>
      <x:c r="G9" s="47"/>
      <x:c r="H9" s="41"/>
      <x:c r="I9" s="47" t="n">
        <x:v>300</x:v>
      </x:c>
      <x:c r="J9" s="47"/>
      <x:c r="K9" s="41" t="str">
        <x:v>Working proposal</x:v>
      </x:c>
      <x:c r="L9" s="5"/>
    </x:row>
    <x:row r="10" ht="28" customHeight="1">
      <x:c r="A10" s="5"/>
      <x:c r="B10" s="54" t="str">
        <x:v>Online processing rate</x:v>
      </x:c>
      <x:c r="C10" s="54"/>
      <x:c r="D10" s="54"/>
      <x:c r="E10" s="54"/>
      <x:c r="F10" s="59" t="n">
        <x:v>0.029</x:v>
      </x:c>
      <x:c r="G10" s="59"/>
      <x:c r="H10" s="54"/>
      <x:c r="I10" s="59" t="n">
        <x:v>0.005</x:v>
      </x:c>
      <x:c r="J10" s="59"/>
      <x:c r="K10" s="54" t="str">
        <x:v>Select bundles brand costs</x:v>
      </x:c>
      <x:c r="L10" s="5"/>
    </x:row>
    <x:row r="11" ht="28" customHeight="1">
      <x:c r="A11" s="5"/>
      <x:c r="B11" s="41" t="str">
        <x:v>Fee per customer payment</x:v>
      </x:c>
      <x:c r="C11" s="41"/>
      <x:c r="D11" s="41"/>
      <x:c r="E11" s="41"/>
      <x:c r="F11" s="63" t="n">
        <x:v>0.3</x:v>
      </x:c>
      <x:c r="G11" s="63"/>
      <x:c r="H11" s="41"/>
      <x:c r="I11" s="63" t="n">
        <x:v>0.3</x:v>
      </x:c>
      <x:c r="J11" s="63"/>
      <x:c r="K11" s="41" t="str">
        <x:v>Working proposal</x:v>
      </x:c>
      <x:c r="L11" s="5"/>
    </x:row>
    <x:row r="12" ht="28" customHeight="1">
      <x:c r="A12" s="5"/>
      <x:c r="B12" s="54" t="str">
        <x:v>Everyday cashback</x:v>
      </x:c>
      <x:c r="C12" s="54"/>
      <x:c r="D12" s="54"/>
      <x:c r="E12" s="54"/>
      <x:c r="F12" s="59" t="n">
        <x:v>0.005</x:v>
      </x:c>
      <x:c r="G12" s="59"/>
      <x:c r="H12" s="54"/>
      <x:c r="I12" s="59" t="n">
        <x:v>0.005</x:v>
      </x:c>
      <x:c r="J12" s="59"/>
      <x:c r="K12" s="54" t="str">
        <x:v>Same for both plans</x:v>
      </x:c>
      <x:c r="L12" s="5"/>
    </x:row>
    <x:row r="13" ht="28" customHeight="1">
      <x:c r="A13" s="5"/>
      <x:c r="B13" s="41" t="str">
        <x:v>Extra spending bonus</x:v>
      </x:c>
      <x:c r="C13" s="41"/>
      <x:c r="D13" s="41"/>
      <x:c r="E13" s="41"/>
      <x:c r="F13" s="59" t="n">
        <x:v>0</x:v>
      </x:c>
      <x:c r="G13" s="59"/>
      <x:c r="H13" s="41"/>
      <x:c r="I13" s="59" t="n">
        <x:v>0.005</x:v>
      </x:c>
      <x:c r="J13" s="59"/>
      <x:c r="K13" s="41" t="str">
        <x:v>Premier only</x:v>
      </x:c>
      <x:c r="L13" s="5"/>
    </x:row>
    <x:row r="14" ht="28" customHeight="1">
      <x:c r="A14" s="5"/>
      <x:c r="B14" s="54" t="str">
        <x:v>Bonus on eligible provider fees</x:v>
      </x:c>
      <x:c r="C14" s="54"/>
      <x:c r="D14" s="54"/>
      <x:c r="E14" s="54"/>
      <x:c r="F14" s="59" t="n">
        <x:v>0</x:v>
      </x:c>
      <x:c r="G14" s="59"/>
      <x:c r="H14" s="54"/>
      <x:c r="I14" s="59" t="n">
        <x:v>0.2</x:v>
      </x:c>
      <x:c r="J14" s="59"/>
      <x:c r="K14" s="54" t="str">
        <x:v>Premier only</x:v>
      </x:c>
      <x:c r="L14" s="5"/>
    </x:row>
    <x:row r="15" ht="28" customHeight="1">
      <x:c r="A15" s="5"/>
      <x:c r="B15" s="41" t="str">
        <x:v>Yearly extra-bonus limit</x:v>
      </x:c>
      <x:c r="C15" s="41"/>
      <x:c r="D15" s="41"/>
      <x:c r="E15" s="41"/>
      <x:c r="F15" s="47" t="n">
        <x:v>0</x:v>
      </x:c>
      <x:c r="G15" s="47"/>
      <x:c r="H15" s="41"/>
      <x:c r="I15" s="47" t="n">
        <x:v>300</x:v>
      </x:c>
      <x:c r="J15" s="47"/>
      <x:c r="K15" s="41" t="str">
        <x:v>One shared cap</x:v>
      </x:c>
      <x:c r="L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</x:row>
    <x:row r="18" ht="24" customHeight="1">
      <x:c r="A18" s="5"/>
      <x:c r="B18" s="459" t="str">
        <x:v>2. Cost model status</x:v>
      </x:c>
      <x:c r="C18" s="459"/>
      <x:c r="D18" s="459"/>
      <x:c r="E18" s="459"/>
      <x:c r="F18" s="459"/>
      <x:c r="G18" s="459"/>
      <x:c r="H18" s="459"/>
      <x:c r="I18" s="459"/>
      <x:c r="J18" s="459"/>
      <x:c r="K18" s="459"/>
      <x:c r="L18" s="5"/>
    </x:row>
    <x:row r="19" ht="25" customHeight="1">
      <x:c r="A19" s="5"/>
      <x:c r="B19" s="463" t="str">
        <x:v>METRIC</x:v>
      </x:c>
      <x:c r="C19" s="463"/>
      <x:c r="D19" s="463"/>
      <x:c r="E19" s="463"/>
      <x:c r="F19" s="463" t="str">
        <x:v>VALUE</x:v>
      </x:c>
      <x:c r="G19" s="463"/>
      <x:c r="H19" s="463"/>
      <x:c r="I19" s="463" t="str">
        <x:v>WHERE TO EDIT</x:v>
      </x:c>
      <x:c r="J19" s="463"/>
      <x:c r="K19" s="463" t="str">
        <x:v>STATUS</x:v>
      </x:c>
      <x:c r="L19" s="5"/>
    </x:row>
    <x:row r="20" ht="28" customHeight="1">
      <x:c r="A20" s="5"/>
      <x:c r="B20" s="623" t="str">
        <x:v>Model basis</x:v>
      </x:c>
      <x:c r="C20" s="623"/>
      <x:c r="D20" s="623"/>
      <x:c r="E20" s="623"/>
      <x:c r="F20" s="660" t="str">
        <x:f>'Cost Center'!F5</x:f>
        <x:v>Planning</x:v>
      </x:c>
      <x:c r="G20" s="660"/>
      <x:c r="H20" s="623" t="str">
        <x:v>Cost Center</x:v>
      </x:c>
      <x:c r="I20" s="623"/>
      <x:c r="J20" s="623"/>
      <x:c r="K20" s="623" t="str">
        <x:v>Planning / Contracted / Actual</x:v>
      </x:c>
      <x:c r="L20" s="5"/>
    </x:row>
    <x:row r="21" ht="28" customHeight="1">
      <x:c r="A21" s="5"/>
      <x:c r="B21" s="626" t="str">
        <x:v>Cost completeness</x:v>
      </x:c>
      <x:c r="C21" s="626"/>
      <x:c r="D21" s="626"/>
      <x:c r="E21" s="626"/>
      <x:c r="F21" s="661" t="n">
        <x:f>'Cost Center'!F27</x:f>
        <x:v>0.5833333333333333</x:v>
      </x:c>
      <x:c r="G21" s="661"/>
      <x:c r="H21" s="626" t="str">
        <x:v>Rate Cards</x:v>
      </x:c>
      <x:c r="I21" s="626"/>
      <x:c r="J21" s="626"/>
      <x:c r="K21" s="626" t="str">
        <x:v>Enabled rows with active rates</x:v>
      </x:c>
      <x:c r="L21" s="5"/>
    </x:row>
    <x:row r="22" ht="28" customHeight="1">
      <x:c r="A22" s="5"/>
      <x:c r="B22" s="623" t="str">
        <x:v>Missing rate-card lines</x:v>
      </x:c>
      <x:c r="C22" s="623"/>
      <x:c r="D22" s="623"/>
      <x:c r="E22" s="623"/>
      <x:c r="F22" s="662" t="n">
        <x:f>'Cost Center'!F28</x:f>
        <x:v>25</x:v>
      </x:c>
      <x:c r="G22" s="662"/>
      <x:c r="H22" s="623" t="str">
        <x:v>Rate Cards</x:v>
      </x:c>
      <x:c r="I22" s="623"/>
      <x:c r="J22" s="623"/>
      <x:c r="K22" s="623" t="str">
        <x:v>Blank costs remain excluded</x:v>
      </x:c>
      <x:c r="L22" s="5"/>
    </x:row>
    <x:row r="23" ht="28" customHeight="1">
      <x:c r="A23" s="5"/>
      <x:c r="B23" s="626" t="str">
        <x:v>Select modeled operating cost</x:v>
      </x:c>
      <x:c r="C23" s="626"/>
      <x:c r="D23" s="626"/>
      <x:c r="E23" s="626"/>
      <x:c r="F23" s="657" t="n">
        <x:f>'Cost Center'!F22</x:f>
        <x:v>968.8336866137948</x:v>
      </x:c>
      <x:c r="G23" s="657"/>
      <x:c r="H23" s="626" t="str">
        <x:v>Cost Drivers + Rate Cards</x:v>
      </x:c>
      <x:c r="I23" s="626"/>
      <x:c r="J23" s="626"/>
      <x:c r="K23" s="626" t="str">
        <x:v>Planning case until contracts</x:v>
      </x:c>
      <x:c r="L23" s="5"/>
    </x:row>
    <x:row r="24">
      <x:c r="A24" s="5"/>
      <x:c r="B24" s="623" t="str">
        <x:v>Premier modeled operating cost</x:v>
      </x:c>
      <x:c r="C24" s="623"/>
      <x:c r="D24" s="623"/>
      <x:c r="E24" s="623"/>
      <x:c r="F24" s="663" t="n">
        <x:f>'Cost Center'!I22</x:f>
        <x:v>982.6970199471282</x:v>
      </x:c>
      <x:c r="G24" s="663"/>
      <x:c r="H24" s="623" t="str">
        <x:v>Cost Drivers + Rate Cards</x:v>
      </x:c>
      <x:c r="I24" s="623"/>
      <x:c r="J24" s="623"/>
      <x:c r="K24" s="623" t="str">
        <x:v>Planning case until contracts</x:v>
      </x:c>
      <x:c r="L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</x:row>
    <x:row r="26" ht="24" customHeight="1">
      <x:c r="A26" s="5"/>
      <x:c r="B26" s="459" t="str">
        <x:v>3. Issuer income and purchase mix</x:v>
      </x:c>
      <x:c r="C26" s="459"/>
      <x:c r="D26" s="459"/>
      <x:c r="E26" s="459"/>
      <x:c r="F26" s="459"/>
      <x:c r="G26" s="459"/>
      <x:c r="H26" s="459"/>
      <x:c r="I26" s="459"/>
      <x:c r="J26" s="459"/>
      <x:c r="K26" s="459"/>
      <x:c r="L26" s="5"/>
    </x:row>
    <x:row r="27" ht="25" customHeight="1">
      <x:c r="A27" s="5"/>
      <x:c r="B27" s="463" t="str">
        <x:v>INPUT</x:v>
      </x:c>
      <x:c r="C27" s="463" t="str">
        <x:v>PERSONAL</x:v>
      </x:c>
      <x:c r="D27" s="463"/>
      <x:c r="E27" s="463" t="str">
        <x:v>HOUSEHOLD</x:v>
      </x:c>
      <x:c r="F27" s="463"/>
      <x:c r="G27" s="463" t="str">
        <x:v>SELLER</x:v>
      </x:c>
      <x:c r="H27" s="463"/>
      <x:c r="I27" s="463" t="str">
        <x:v>TOTAL / STATUS</x:v>
      </x:c>
      <x:c r="J27" s="463"/>
      <x:c r="K27" s="463" t="str">
        <x:v>NOTE</x:v>
      </x:c>
      <x:c r="L27" s="5"/>
    </x:row>
    <x:row r="28" ht="29" customHeight="1">
      <x:c r="A28" s="5"/>
      <x:c r="B28" s="623" t="str">
        <x:v>Share of eligible purchases</x:v>
      </x:c>
      <x:c r="C28" s="667" t="n">
        <x:v>0.5</x:v>
      </x:c>
      <x:c r="D28" s="667"/>
      <x:c r="E28" s="667" t="n">
        <x:v>0.25</x:v>
      </x:c>
      <x:c r="F28" s="667"/>
      <x:c r="G28" s="667" t="n">
        <x:v>0.25</x:v>
      </x:c>
      <x:c r="H28" s="667"/>
      <x:c r="I28" s="651" t="n">
        <x:f>SUM(C28,E28,G28)</x:f>
        <x:v>1</x:v>
      </x:c>
      <x:c r="J28" s="651"/>
      <x:c r="K28" s="623" t="str">
        <x:v>Must total 100%</x:v>
      </x:c>
      <x:c r="L28" s="5"/>
    </x:row>
    <x:row r="29" ht="29" customHeight="1">
      <x:c r="A29" s="5"/>
      <x:c r="B29" s="626" t="str">
        <x:v>Net issuer income paid to us</x:v>
      </x:c>
      <x:c r="C29" s="667" t="n">
        <x:v>0.014</x:v>
      </x:c>
      <x:c r="D29" s="667"/>
      <x:c r="E29" s="667" t="n">
        <x:v>0.014</x:v>
      </x:c>
      <x:c r="F29" s="667"/>
      <x:c r="G29" s="667" t="n">
        <x:v>0.014</x:v>
      </x:c>
      <x:c r="H29" s="667"/>
      <x:c r="I29" s="626" t="str">
        <x:v>Weighted</x:v>
      </x:c>
      <x:c r="J29" s="626"/>
      <x:c r="K29" s="626" t="str">
        <x:v>Revenue reaching the fintech after issuer agreement deductions</x:v>
      </x:c>
      <x:c r="L29" s="5"/>
    </x:row>
    <x:row r="30" ht="29" customHeight="1">
      <x:c r="A30" s="5"/>
      <x:c r="B30" s="66"/>
      <x:c r="C30" s="71"/>
      <x:c r="D30" s="71"/>
      <x:c r="E30" s="71"/>
      <x:c r="F30" s="71"/>
      <x:c r="G30" s="71"/>
      <x:c r="H30" s="71"/>
      <x:c r="I30" s="66"/>
      <x:c r="J30" s="66"/>
      <x:c r="K30" s="66"/>
      <x:c r="L30" s="5"/>
    </x:row>
    <x:row r="31" ht="29" customHeight="1">
      <x:c r="A31" s="5"/>
      <x:c r="B31" s="503" t="str">
        <x:v>All issuing cost assumptions are now in Rate Cards. Do not enter a second variable issuing-cost allowance here.</x:v>
      </x:c>
      <x:c r="C31" s="669"/>
      <x:c r="D31" s="669"/>
      <x:c r="E31" s="669"/>
      <x:c r="F31" s="669"/>
      <x:c r="G31" s="669"/>
      <x:c r="H31" s="669"/>
      <x:c r="I31" s="503"/>
      <x:c r="J31" s="503"/>
      <x:c r="K31" s="503"/>
      <x:c r="L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</x:row>
    <x:row r="34" ht="24" customHeight="1">
      <x:c r="A34" s="5"/>
      <x:c r="B34" s="459" t="str">
        <x:v>4. Cost ownership</x:v>
      </x:c>
      <x:c r="C34" s="459"/>
      <x:c r="D34" s="459"/>
      <x:c r="E34" s="459"/>
      <x:c r="F34" s="459"/>
      <x:c r="G34" s="459"/>
      <x:c r="H34" s="459"/>
      <x:c r="I34" s="459"/>
      <x:c r="J34" s="459"/>
      <x:c r="K34" s="459"/>
      <x:c r="L34" s="5"/>
    </x:row>
    <x:row r="35" ht="25" customHeight="1">
      <x:c r="A35" s="5"/>
      <x:c r="B35" s="673" t="str">
        <x:v>Use Cost Drivers for activity assumptions, Rate Cards for planning / contracted / actual rates, and Cost Center for rollups. This prevents membership, PayFac, issuing, shared-services and future partner costs from being mixed or counted twice.</x:v>
      </x:c>
      <x:c r="C35" s="673"/>
      <x:c r="D35" s="673"/>
      <x:c r="E35" s="673"/>
      <x:c r="F35" s="673"/>
      <x:c r="G35" s="673"/>
      <x:c r="H35" s="673"/>
      <x:c r="I35" s="673"/>
      <x:c r="J35" s="673"/>
      <x:c r="K35" s="673"/>
      <x:c r="L35" s="5"/>
    </x:row>
    <x:row r="36">
      <x:c r="A36" s="5"/>
      <x:c r="B36" s="671"/>
      <x:c r="C36" s="671"/>
      <x:c r="D36" s="671"/>
      <x:c r="E36" s="671"/>
      <x:c r="F36" s="674"/>
      <x:c r="G36" s="674"/>
      <x:c r="H36" s="671"/>
      <x:c r="I36" s="674"/>
      <x:c r="J36" s="674"/>
      <x:c r="K36" s="671"/>
      <x:c r="L36" s="5"/>
    </x:row>
    <x:row r="37">
      <x:c r="A37" s="5"/>
      <x:c r="B37" s="671"/>
      <x:c r="C37" s="671"/>
      <x:c r="D37" s="671"/>
      <x:c r="E37" s="671"/>
      <x:c r="F37" s="674"/>
      <x:c r="G37" s="674"/>
      <x:c r="H37" s="671"/>
      <x:c r="I37" s="671"/>
      <x:c r="J37" s="671"/>
      <x:c r="K37" s="671"/>
      <x:c r="L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</x:row>
    <x:row r="40" ht="24" customHeight="1">
      <x:c r="A40" s="5"/>
      <x:c r="B40" s="28" t="str">
        <x:v>5. Operational KPI inputs</x:v>
      </x:c>
      <x:c r="C40" s="28"/>
      <x:c r="D40" s="28"/>
      <x:c r="E40" s="28"/>
      <x:c r="F40" s="28"/>
      <x:c r="G40" s="28"/>
      <x:c r="H40" s="28"/>
      <x:c r="I40" s="28"/>
      <x:c r="J40" s="28"/>
      <x:c r="K40" s="28"/>
      <x:c r="L40" s="5"/>
    </x:row>
    <x:row r="41" ht="25" customHeight="1">
      <x:c r="A41" s="5"/>
      <x:c r="B41" s="35" t="str">
        <x:v>VALUE STREAM</x:v>
      </x:c>
      <x:c r="C41" s="35"/>
      <x:c r="D41" s="35" t="str">
        <x:v>KPI</x:v>
      </x:c>
      <x:c r="E41" s="35"/>
      <x:c r="F41" s="35" t="str">
        <x:v>CURRENT</x:v>
      </x:c>
      <x:c r="G41" s="35"/>
      <x:c r="H41" s="35" t="str">
        <x:v>TARGET</x:v>
      </x:c>
      <x:c r="I41" s="35"/>
      <x:c r="J41" s="35" t="str">
        <x:v>STATUS</x:v>
      </x:c>
      <x:c r="K41" s="35"/>
      <x:c r="L41" s="5"/>
    </x:row>
    <x:row r="42" ht="31" customHeight="1">
      <x:c r="A42" s="5"/>
      <x:c r="B42" s="66" t="str">
        <x:v>Attract &amp; Join</x:v>
      </x:c>
      <x:c r="C42" s="66"/>
      <x:c r="D42" s="66" t="str">
        <x:v>Membership conversion rate</x:v>
      </x:c>
      <x:c r="E42" s="66"/>
      <x:c r="F42" s="92"/>
      <x:c r="G42" s="92"/>
      <x:c r="H42" s="92"/>
      <x:c r="I42" s="92"/>
      <x:c r="J42" s="66" t="str">
        <x:v>Input needed</x:v>
      </x:c>
      <x:c r="K42" s="66"/>
      <x:c r="L42" s="5"/>
    </x:row>
    <x:row r="43" ht="31" customHeight="1">
      <x:c r="A43" s="5"/>
      <x:c r="B43" s="76" t="str">
        <x:v>Verify &amp; Activate</x:v>
      </x:c>
      <x:c r="C43" s="76"/>
      <x:c r="D43" s="76" t="str">
        <x:v>Median activation time (days)</x:v>
      </x:c>
      <x:c r="E43" s="76"/>
      <x:c r="F43" s="92"/>
      <x:c r="G43" s="92"/>
      <x:c r="H43" s="92"/>
      <x:c r="I43" s="92"/>
      <x:c r="J43" s="76" t="str">
        <x:v>Input needed</x:v>
      </x:c>
      <x:c r="K43" s="76"/>
      <x:c r="L43" s="5"/>
    </x:row>
    <x:row r="44" ht="31" customHeight="1">
      <x:c r="A44" s="5"/>
      <x:c r="B44" s="66" t="str">
        <x:v>Get Paid</x:v>
      </x:c>
      <x:c r="C44" s="66"/>
      <x:c r="D44" s="66" t="str">
        <x:v>Payment success rate</x:v>
      </x:c>
      <x:c r="E44" s="66"/>
      <x:c r="F44" s="92"/>
      <x:c r="G44" s="92"/>
      <x:c r="H44" s="92"/>
      <x:c r="I44" s="92"/>
      <x:c r="J44" s="66" t="str">
        <x:v>Input needed</x:v>
      </x:c>
      <x:c r="K44" s="66"/>
      <x:c r="L44" s="5"/>
    </x:row>
    <x:row r="45" ht="31" customHeight="1">
      <x:c r="A45" s="5"/>
      <x:c r="B45" s="76" t="str">
        <x:v>Get Paid</x:v>
      </x:c>
      <x:c r="C45" s="76"/>
      <x:c r="D45" s="76" t="str">
        <x:v>Seller loss rate</x:v>
      </x:c>
      <x:c r="E45" s="76"/>
      <x:c r="F45" s="92"/>
      <x:c r="G45" s="92"/>
      <x:c r="H45" s="92"/>
      <x:c r="I45" s="92"/>
      <x:c r="J45" s="76" t="str">
        <x:v>Input needed</x:v>
      </x:c>
      <x:c r="K45" s="76"/>
      <x:c r="L45" s="5"/>
    </x:row>
    <x:row r="46" ht="31" customHeight="1">
      <x:c r="A46" s="5"/>
      <x:c r="B46" s="66" t="str">
        <x:v>Pay &amp; Spend</x:v>
      </x:c>
      <x:c r="C46" s="66"/>
      <x:c r="D46" s="66" t="str">
        <x:v>Purchase approval rate</x:v>
      </x:c>
      <x:c r="E46" s="66"/>
      <x:c r="F46" s="92"/>
      <x:c r="G46" s="92"/>
      <x:c r="H46" s="92"/>
      <x:c r="I46" s="92"/>
      <x:c r="J46" s="66" t="str">
        <x:v>Input needed</x:v>
      </x:c>
      <x:c r="K46" s="66"/>
      <x:c r="L46" s="5"/>
    </x:row>
    <x:row r="47" ht="31" customHeight="1">
      <x:c r="A47" s="5"/>
      <x:c r="B47" s="76" t="str">
        <x:v>Pay &amp; Spend</x:v>
      </x:c>
      <x:c r="C47" s="76"/>
      <x:c r="D47" s="76" t="str">
        <x:v>Fraud loss rate</x:v>
      </x:c>
      <x:c r="E47" s="76"/>
      <x:c r="F47" s="92"/>
      <x:c r="G47" s="92"/>
      <x:c r="H47" s="92"/>
      <x:c r="I47" s="92"/>
      <x:c r="J47" s="76" t="str">
        <x:v>Input needed</x:v>
      </x:c>
      <x:c r="K47" s="76"/>
      <x:c r="L47" s="5"/>
    </x:row>
    <x:row r="48" ht="31" customHeight="1">
      <x:c r="A48" s="5"/>
      <x:c r="B48" s="66" t="str">
        <x:v>Serve &amp; Protect</x:v>
      </x:c>
      <x:c r="C48" s="66"/>
      <x:c r="D48" s="66" t="str">
        <x:v>Median case resolution time (hours)</x:v>
      </x:c>
      <x:c r="E48" s="66"/>
      <x:c r="F48" s="92"/>
      <x:c r="G48" s="92"/>
      <x:c r="H48" s="92"/>
      <x:c r="I48" s="92"/>
      <x:c r="J48" s="66" t="str">
        <x:v>Input needed</x:v>
      </x:c>
      <x:c r="K48" s="66"/>
      <x:c r="L48" s="5"/>
    </x:row>
    <x:row r="49" ht="31" customHeight="1">
      <x:c r="A49" s="5"/>
      <x:c r="B49" s="76" t="str">
        <x:v>Reward &amp; Retain</x:v>
      </x:c>
      <x:c r="C49" s="76"/>
      <x:c r="D49" s="76" t="str">
        <x:v>Annual renewal rate</x:v>
      </x:c>
      <x:c r="E49" s="76"/>
      <x:c r="F49" s="92"/>
      <x:c r="G49" s="92"/>
      <x:c r="H49" s="92"/>
      <x:c r="I49" s="92"/>
      <x:c r="J49" s="76" t="str">
        <x:v>Input needed</x:v>
      </x:c>
      <x:c r="K49" s="76"/>
      <x:c r="L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</x:row>
    <x:row r="52" ht="31" customHeight="1">
      <x:c r="A52" s="5"/>
      <x:c r="B52" s="95" t="str">
        <x:v>Operational KPI inputs are intentionally blank. The workflow design is complete; live performance data is not yet available.</x:v>
      </x:c>
      <x:c r="C52" s="95"/>
      <x:c r="D52" s="95"/>
      <x:c r="E52" s="95"/>
      <x:c r="F52" s="95"/>
      <x:c r="G52" s="95"/>
      <x:c r="H52" s="95"/>
      <x:c r="I52" s="95"/>
      <x:c r="J52" s="95"/>
      <x:c r="K52" s="95"/>
      <x:c r="L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</x:row>
  </x:sheetData>
  <x:mergeCells>
    <x:mergeCell ref="B2:K2"/>
    <x:mergeCell ref="B3:K3"/>
    <x:mergeCell ref="B5:K5"/>
    <x:mergeCell ref="B7:K7"/>
    <x:mergeCell ref="B9:E9"/>
    <x:mergeCell ref="F9:G9"/>
    <x:mergeCell ref="I9:J9"/>
    <x:mergeCell ref="B10:E10"/>
    <x:mergeCell ref="F10:G10"/>
    <x:mergeCell ref="I10:J10"/>
    <x:mergeCell ref="B11:E11"/>
    <x:mergeCell ref="F11:G11"/>
    <x:mergeCell ref="I11:J11"/>
    <x:mergeCell ref="B12:E12"/>
    <x:mergeCell ref="F12:G12"/>
    <x:mergeCell ref="I12:J12"/>
    <x:mergeCell ref="B13:E13"/>
    <x:mergeCell ref="F13:G13"/>
    <x:mergeCell ref="I13:J13"/>
    <x:mergeCell ref="B14:E14"/>
    <x:mergeCell ref="F14:G14"/>
    <x:mergeCell ref="I14:J14"/>
    <x:mergeCell ref="B15:E15"/>
    <x:mergeCell ref="F15:G15"/>
    <x:mergeCell ref="I15:J15"/>
    <x:mergeCell ref="B18:K18"/>
    <x:mergeCell ref="B20:E20"/>
    <x:mergeCell ref="F20:G20"/>
    <x:mergeCell ref="H20:I20"/>
    <x:mergeCell ref="B21:E21"/>
    <x:mergeCell ref="F21:G21"/>
    <x:mergeCell ref="H21:I21"/>
    <x:mergeCell ref="B22:E22"/>
    <x:mergeCell ref="F22:G22"/>
    <x:mergeCell ref="H22:I22"/>
    <x:mergeCell ref="B23:E23"/>
    <x:mergeCell ref="F23:G23"/>
    <x:mergeCell ref="H23:I23"/>
    <x:mergeCell ref="B26:K26"/>
    <x:mergeCell ref="C30:D30"/>
    <x:mergeCell ref="E30:F30"/>
    <x:mergeCell ref="G30:H30"/>
    <x:mergeCell ref="I30:J30"/>
    <x:mergeCell ref="C31:D31"/>
    <x:mergeCell ref="E31:F31"/>
    <x:mergeCell ref="G31:H31"/>
    <x:mergeCell ref="I31:J31"/>
    <x:mergeCell ref="B34:K34"/>
    <x:mergeCell ref="B36:E36"/>
    <x:mergeCell ref="F36:G36"/>
    <x:mergeCell ref="I36:J36"/>
    <x:mergeCell ref="B37:E37"/>
    <x:mergeCell ref="F37:G37"/>
    <x:mergeCell ref="I37:J37"/>
    <x:mergeCell ref="B40:K40"/>
    <x:mergeCell ref="B42:C42"/>
    <x:mergeCell ref="D42:E42"/>
    <x:mergeCell ref="F42:G42"/>
    <x:mergeCell ref="H42:I42"/>
    <x:mergeCell ref="J42:K42"/>
    <x:mergeCell ref="B43:C43"/>
    <x:mergeCell ref="D43:E43"/>
    <x:mergeCell ref="F43:G43"/>
    <x:mergeCell ref="H43:I43"/>
    <x:mergeCell ref="J43:K43"/>
    <x:mergeCell ref="B44:C44"/>
    <x:mergeCell ref="D44:E44"/>
    <x:mergeCell ref="F44:G44"/>
    <x:mergeCell ref="H44:I44"/>
    <x:mergeCell ref="J44:K44"/>
    <x:mergeCell ref="B45:C45"/>
    <x:mergeCell ref="D45:E45"/>
    <x:mergeCell ref="F45:G45"/>
    <x:mergeCell ref="H45:I45"/>
    <x:mergeCell ref="J45:K45"/>
    <x:mergeCell ref="B46:C46"/>
    <x:mergeCell ref="D46:E46"/>
    <x:mergeCell ref="F46:G46"/>
    <x:mergeCell ref="H46:I46"/>
    <x:mergeCell ref="J46:K46"/>
    <x:mergeCell ref="B47:C47"/>
    <x:mergeCell ref="D47:E47"/>
    <x:mergeCell ref="F47:G47"/>
    <x:mergeCell ref="H47:I47"/>
    <x:mergeCell ref="J47:K47"/>
    <x:mergeCell ref="B48:C48"/>
    <x:mergeCell ref="D48:E48"/>
    <x:mergeCell ref="F48:G48"/>
    <x:mergeCell ref="H48:I48"/>
    <x:mergeCell ref="J48:K48"/>
    <x:mergeCell ref="B49:C49"/>
    <x:mergeCell ref="D49:E49"/>
    <x:mergeCell ref="F49:G49"/>
    <x:mergeCell ref="H49:I49"/>
    <x:mergeCell ref="J49:K49"/>
    <x:mergeCell ref="B52:K52"/>
    <x:mergeCell ref="B24:E24"/>
    <x:mergeCell ref="F24:G24"/>
    <x:mergeCell ref="H24:I24"/>
    <x:mergeCell ref="C28:D28"/>
    <x:mergeCell ref="E28:F28"/>
    <x:mergeCell ref="G28:H28"/>
    <x:mergeCell ref="I28:J28"/>
    <x:mergeCell ref="C29:D29"/>
    <x:mergeCell ref="E29:F29"/>
    <x:mergeCell ref="G29:H29"/>
    <x:mergeCell ref="I29:J29"/>
    <x:mergeCell ref="B31:K31"/>
    <x:mergeCell ref="B35:K3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5" hidden="0" customWidth="1"/>
    <x:col min="3" max="3" width="21" hidden="0" customWidth="1"/>
    <x:col min="4" max="4" width="3" hidden="0" customWidth="1"/>
    <x:col min="5" max="5" width="21" hidden="0" customWidth="1"/>
    <x:col min="6" max="6" width="3" hidden="0" customWidth="1"/>
    <x:col min="7" max="7" width="21" hidden="0" customWidth="1"/>
    <x:col min="8" max="8" width="3" hidden="0" customWidth="1"/>
    <x:col min="9" max="9" width="21" hidden="0" customWidth="1"/>
    <x:col min="10" max="10" width="3" hidden="0" customWidth="1"/>
    <x:col min="11" max="11" width="21" hidden="0" customWidth="1"/>
    <x:col min="12" max="12" width="2.20000004768371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5"/>
      <x:c r="B2" s="12" t="str">
        <x:v>Model engine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5"/>
    </x:row>
    <x:row r="3" ht="24" customHeight="1">
      <x:c r="A3" s="5"/>
      <x:c r="B3" s="18" t="str">
        <x:v>Auditable formulas behind the customer and management dashboards.</x:v>
      </x:c>
      <x:c r="C3" s="18"/>
      <x:c r="D3" s="18"/>
      <x:c r="E3" s="18"/>
      <x:c r="F3" s="18"/>
      <x:c r="G3" s="18"/>
      <x:c r="H3" s="18"/>
      <x:c r="I3" s="18"/>
      <x:c r="J3" s="18"/>
      <x:c r="K3" s="18"/>
      <x:c r="L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25" customHeight="1">
      <x:c r="A5" s="5"/>
      <x:c r="B5" s="35" t="str">
        <x:v>METRIC</x:v>
      </x:c>
      <x:c r="C5" s="35"/>
      <x:c r="D5" s="35"/>
      <x:c r="E5" s="35"/>
      <x:c r="F5" s="35" t="str">
        <x:v>VALUE</x:v>
      </x:c>
      <x:c r="G5" s="35"/>
      <x:c r="H5" s="35"/>
      <x:c r="I5" s="35" t="str">
        <x:v>MEANING</x:v>
      </x:c>
      <x:c r="J5" s="35"/>
      <x:c r="K5" s="35"/>
      <x:c r="L5" s="5"/>
    </x:row>
    <x:row r="6" ht="23" customHeight="1">
      <x:c r="A6" s="5"/>
      <x:c r="B6" s="41" t="str">
        <x:v>Yearly conversion</x:v>
      </x:c>
      <x:c r="C6" s="41"/>
      <x:c r="D6" s="41"/>
      <x:c r="E6" s="41"/>
      <x:c r="F6" s="102" t="n">
        <x:f>IF('Command Center'!E17="Monthly",12,1)</x:f>
        <x:v>1</x:v>
      </x:c>
      <x:c r="G6" s="102"/>
      <x:c r="H6" s="41" t="str">
        <x:v>Annual or monthly scenario</x:v>
      </x:c>
      <x:c r="I6" s="41"/>
      <x:c r="J6" s="41"/>
      <x:c r="K6" s="41"/>
      <x:c r="L6" s="5"/>
    </x:row>
    <x:row r="7" ht="23" customHeight="1">
      <x:c r="A7" s="5"/>
      <x:c r="B7" s="54" t="str">
        <x:v>Yearly sales</x:v>
      </x:c>
      <x:c r="C7" s="54"/>
      <x:c r="D7" s="54"/>
      <x:c r="E7" s="54"/>
      <x:c r="F7" s="104" t="n">
        <x:f>'Command Center'!E18*F6</x:f>
        <x:v>100000</x:v>
      </x:c>
      <x:c r="G7" s="104"/>
      <x:c r="H7" s="54" t="str">
        <x:v>Approved customer sales</x:v>
      </x:c>
      <x:c r="I7" s="54"/>
      <x:c r="J7" s="54"/>
      <x:c r="K7" s="54"/>
      <x:c r="L7" s="5"/>
    </x:row>
    <x:row r="8" ht="23" customHeight="1">
      <x:c r="A8" s="5"/>
      <x:c r="B8" s="41" t="str">
        <x:v>Yearly customer payments</x:v>
      </x:c>
      <x:c r="C8" s="41"/>
      <x:c r="D8" s="41"/>
      <x:c r="E8" s="41"/>
      <x:c r="F8" s="102" t="n">
        <x:f>'Command Center'!E19*F6</x:f>
        <x:v>1000</x:v>
      </x:c>
      <x:c r="G8" s="102"/>
      <x:c r="H8" s="41" t="str">
        <x:v>Commercial customer payments</x:v>
      </x:c>
      <x:c r="I8" s="41"/>
      <x:c r="J8" s="41"/>
      <x:c r="K8" s="41"/>
      <x:c r="L8" s="5"/>
    </x:row>
    <x:row r="9" ht="23" customHeight="1">
      <x:c r="A9" s="5"/>
      <x:c r="B9" s="54" t="str">
        <x:v>Yearly eligible purchases</x:v>
      </x:c>
      <x:c r="C9" s="54"/>
      <x:c r="D9" s="54"/>
      <x:c r="E9" s="54"/>
      <x:c r="F9" s="104" t="n">
        <x:f>'Command Center'!E20*F6</x:f>
        <x:v>24000</x:v>
      </x:c>
      <x:c r="G9" s="104"/>
      <x:c r="H9" s="54" t="str">
        <x:v>Personal + Household + Seller</x:v>
      </x:c>
      <x:c r="I9" s="54"/>
      <x:c r="J9" s="54"/>
      <x:c r="K9" s="54"/>
      <x:c r="L9" s="5"/>
    </x:row>
    <x:row r="10" ht="23" customHeight="1">
      <x:c r="A10" s="5"/>
      <x:c r="B10" s="41" t="str">
        <x:v>Yearly card-brand costs</x:v>
      </x:c>
      <x:c r="C10" s="41"/>
      <x:c r="D10" s="41"/>
      <x:c r="E10" s="41"/>
      <x:c r="F10" s="106" t="n">
        <x:f>F7*'Command Center'!E21</x:f>
        <x:v>1900</x:v>
      </x:c>
      <x:c r="G10" s="106"/>
      <x:c r="H10" s="41" t="str">
        <x:v>Outside interchange and network estimate</x:v>
      </x:c>
      <x:c r="I10" s="41"/>
      <x:c r="J10" s="41"/>
      <x:c r="K10" s="41"/>
      <x:c r="L10" s="5"/>
    </x:row>
    <x:row r="11" ht="23" customHeight="1">
      <x:c r="A11" s="5"/>
      <x:c r="B11" s="54" t="str">
        <x:v>Select processing charge</x:v>
      </x:c>
      <x:c r="C11" s="54"/>
      <x:c r="D11" s="54"/>
      <x:c r="E11" s="54"/>
      <x:c r="F11" s="108" t="n">
        <x:f>F7*'Inputs'!F10+F8*'Inputs'!F11</x:f>
        <x:v>3200</x:v>
      </x:c>
      <x:c r="G11" s="108"/>
      <x:c r="H11" s="54" t="str">
        <x:v>Bundled customer price</x:v>
      </x:c>
      <x:c r="I11" s="54"/>
      <x:c r="J11" s="54"/>
      <x:c r="K11" s="54"/>
      <x:c r="L11" s="5"/>
    </x:row>
    <x:row r="12" ht="23" customHeight="1">
      <x:c r="A12" s="5"/>
      <x:c r="B12" s="41" t="str">
        <x:v>Premier provider fees</x:v>
      </x:c>
      <x:c r="C12" s="41"/>
      <x:c r="D12" s="41"/>
      <x:c r="E12" s="41"/>
      <x:c r="F12" s="106" t="n">
        <x:f>F7*'Inputs'!I10+F8*'Inputs'!I11</x:f>
        <x:v>800</x:v>
      </x:c>
      <x:c r="G12" s="106"/>
      <x:c r="H12" s="41" t="str">
        <x:v>Excludes card-brand costs</x:v>
      </x:c>
      <x:c r="I12" s="41"/>
      <x:c r="J12" s="41"/>
      <x:c r="K12" s="41"/>
      <x:c r="L12" s="5"/>
    </x:row>
    <x:row r="13" ht="23" customHeight="1">
      <x:c r="A13" s="5"/>
      <x:c r="B13" s="54" t="str">
        <x:v>Premier processing charge</x:v>
      </x:c>
      <x:c r="C13" s="54"/>
      <x:c r="D13" s="54"/>
      <x:c r="E13" s="54"/>
      <x:c r="F13" s="108" t="n">
        <x:f>F10+F12</x:f>
        <x:v>2700</x:v>
      </x:c>
      <x:c r="G13" s="108"/>
      <x:c r="H13" s="54" t="str">
        <x:v>Brand costs + provider fees</x:v>
      </x:c>
      <x:c r="I13" s="54"/>
      <x:c r="J13" s="54"/>
      <x:c r="K13" s="54"/>
      <x:c r="L13" s="5"/>
    </x:row>
    <x:row r="14" ht="23" customHeight="1">
      <x:c r="A14" s="5"/>
      <x:c r="B14" s="41" t="str">
        <x:v>Select base cashback</x:v>
      </x:c>
      <x:c r="C14" s="41"/>
      <x:c r="D14" s="41"/>
      <x:c r="E14" s="41"/>
      <x:c r="F14" s="106" t="n">
        <x:f>F9*'Inputs'!F12</x:f>
        <x:v>120</x:v>
      </x:c>
      <x:c r="G14" s="106"/>
      <x:c r="H14" s="41" t="str">
        <x:v>Customer reward</x:v>
      </x:c>
      <x:c r="I14" s="41"/>
      <x:c r="J14" s="41"/>
      <x:c r="K14" s="41"/>
      <x:c r="L14" s="5"/>
    </x:row>
    <x:row r="15" ht="23" customHeight="1">
      <x:c r="A15" s="5"/>
      <x:c r="B15" s="54" t="str">
        <x:v>Premier base cashback</x:v>
      </x:c>
      <x:c r="C15" s="54"/>
      <x:c r="D15" s="54"/>
      <x:c r="E15" s="54"/>
      <x:c r="F15" s="108" t="n">
        <x:f>F9*'Inputs'!I12</x:f>
        <x:v>120</x:v>
      </x:c>
      <x:c r="G15" s="108"/>
      <x:c r="H15" s="54" t="str">
        <x:v>Customer reward</x:v>
      </x:c>
      <x:c r="I15" s="54"/>
      <x:c r="J15" s="54"/>
      <x:c r="K15" s="54"/>
      <x:c r="L15" s="5"/>
    </x:row>
    <x:row r="16" ht="23" customHeight="1">
      <x:c r="A16" s="5"/>
      <x:c r="B16" s="41" t="str">
        <x:v>Extra spending bonus before cap</x:v>
      </x:c>
      <x:c r="C16" s="41"/>
      <x:c r="D16" s="41"/>
      <x:c r="E16" s="41"/>
      <x:c r="F16" s="106" t="n">
        <x:f>F9*'Inputs'!I13</x:f>
        <x:v>120</x:v>
      </x:c>
      <x:c r="G16" s="106"/>
      <x:c r="H16" s="41" t="str">
        <x:v>Premier only</x:v>
      </x:c>
      <x:c r="I16" s="41"/>
      <x:c r="J16" s="41"/>
      <x:c r="K16" s="41"/>
      <x:c r="L16" s="5"/>
    </x:row>
    <x:row r="17" ht="23" customHeight="1">
      <x:c r="A17" s="5"/>
      <x:c r="B17" s="54" t="str">
        <x:v>Provider-fee bonus before cap</x:v>
      </x:c>
      <x:c r="C17" s="54"/>
      <x:c r="D17" s="54"/>
      <x:c r="E17" s="54"/>
      <x:c r="F17" s="108" t="n">
        <x:f>F12*'Inputs'!I14</x:f>
        <x:v>160</x:v>
      </x:c>
      <x:c r="G17" s="108"/>
      <x:c r="H17" s="54" t="str">
        <x:v>Premier only</x:v>
      </x:c>
      <x:c r="I17" s="54"/>
      <x:c r="J17" s="54"/>
      <x:c r="K17" s="54"/>
      <x:c r="L17" s="5"/>
    </x:row>
    <x:row r="18" ht="23" customHeight="1">
      <x:c r="A18" s="5"/>
      <x:c r="B18" s="41" t="str">
        <x:v>Combined bonus before cap</x:v>
      </x:c>
      <x:c r="C18" s="41"/>
      <x:c r="D18" s="41"/>
      <x:c r="E18" s="41"/>
      <x:c r="F18" s="106" t="n">
        <x:f>F16+F17</x:f>
        <x:v>280</x:v>
      </x:c>
      <x:c r="G18" s="106"/>
      <x:c r="H18" s="41" t="str">
        <x:v>Two sources</x:v>
      </x:c>
      <x:c r="I18" s="41"/>
      <x:c r="J18" s="41"/>
      <x:c r="K18" s="41"/>
      <x:c r="L18" s="5"/>
    </x:row>
    <x:row r="19" ht="23" customHeight="1">
      <x:c r="A19" s="5"/>
      <x:c r="B19" s="54" t="str">
        <x:v>Premier bonus paid</x:v>
      </x:c>
      <x:c r="C19" s="54"/>
      <x:c r="D19" s="54"/>
      <x:c r="E19" s="54"/>
      <x:c r="F19" s="108" t="n">
        <x:f>MIN('Inputs'!I15,F18)</x:f>
        <x:v>280</x:v>
      </x:c>
      <x:c r="G19" s="108"/>
      <x:c r="H19" s="54" t="str">
        <x:v>One shared yearly cap</x:v>
      </x:c>
      <x:c r="I19" s="54"/>
      <x:c r="J19" s="54"/>
      <x:c r="K19" s="54"/>
      <x:c r="L19" s="5"/>
    </x:row>
    <x:row r="20" ht="23" customHeight="1">
      <x:c r="A20" s="5"/>
      <x:c r="B20" s="41" t="str">
        <x:v>Actual Premier spending bonus</x:v>
      </x:c>
      <x:c r="C20" s="41"/>
      <x:c r="D20" s="41"/>
      <x:c r="E20" s="41"/>
      <x:c r="F20" s="106" t="n">
        <x:f>IF(F18=0,0,F19*F16/F18)</x:f>
        <x:v>120</x:v>
      </x:c>
      <x:c r="G20" s="106"/>
      <x:c r="H20" s="41" t="str">
        <x:v>Internal proportional allocation</x:v>
      </x:c>
      <x:c r="I20" s="41"/>
      <x:c r="J20" s="41"/>
      <x:c r="K20" s="41"/>
      <x:c r="L20" s="5"/>
    </x:row>
    <x:row r="21" ht="23" customHeight="1">
      <x:c r="A21" s="5"/>
      <x:c r="B21" s="54" t="str">
        <x:v>Actual Premier provider-fee bonus</x:v>
      </x:c>
      <x:c r="C21" s="54"/>
      <x:c r="D21" s="54"/>
      <x:c r="E21" s="54"/>
      <x:c r="F21" s="108" t="n">
        <x:f>F19-F20</x:f>
        <x:v>160</x:v>
      </x:c>
      <x:c r="G21" s="108"/>
      <x:c r="H21" s="54" t="str">
        <x:v>Internal proportional allocation</x:v>
      </x:c>
      <x:c r="I21" s="54"/>
      <x:c r="J21" s="54"/>
      <x:c r="K21" s="54"/>
      <x:c r="L21" s="5"/>
    </x:row>
    <x:row r="22" ht="23" customHeight="1">
      <x:c r="A22" s="5"/>
      <x:c r="B22" s="41" t="str">
        <x:v>Select customer net cost</x:v>
      </x:c>
      <x:c r="C22" s="41"/>
      <x:c r="D22" s="41"/>
      <x:c r="E22" s="41"/>
      <x:c r="F22" s="106" t="n">
        <x:f>'Inputs'!F9+F11-F14</x:f>
        <x:v>3200</x:v>
      </x:c>
      <x:c r="G22" s="106"/>
      <x:c r="H22" s="41" t="str">
        <x:v>Membership + processing - reward</x:v>
      </x:c>
      <x:c r="I22" s="41"/>
      <x:c r="J22" s="41"/>
      <x:c r="K22" s="41"/>
      <x:c r="L22" s="5"/>
    </x:row>
    <x:row r="23" ht="23" customHeight="1">
      <x:c r="A23" s="5"/>
      <x:c r="B23" s="54" t="str">
        <x:v>Premier customer net cost</x:v>
      </x:c>
      <x:c r="C23" s="54"/>
      <x:c r="D23" s="54"/>
      <x:c r="E23" s="54"/>
      <x:c r="F23" s="108" t="n">
        <x:f>'Inputs'!I9+F13-F15-F19</x:f>
        <x:v>2600</x:v>
      </x:c>
      <x:c r="G23" s="108"/>
      <x:c r="H23" s="54" t="str">
        <x:v>Membership + processing - rewards</x:v>
      </x:c>
      <x:c r="I23" s="54"/>
      <x:c r="J23" s="54"/>
      <x:c r="K23" s="54"/>
      <x:c r="L23" s="5"/>
    </x:row>
    <x:row r="24" ht="23" customHeight="1">
      <x:c r="A24" s="5"/>
      <x:c r="B24" s="41" t="str">
        <x:v>Customer saving with Premier</x:v>
      </x:c>
      <x:c r="C24" s="41"/>
      <x:c r="D24" s="41"/>
      <x:c r="E24" s="41"/>
      <x:c r="F24" s="106" t="n">
        <x:f>F22-F23</x:f>
        <x:v>600</x:v>
      </x:c>
      <x:c r="G24" s="106"/>
      <x:c r="H24" s="41" t="str">
        <x:v>Positive favors Premier</x:v>
      </x:c>
      <x:c r="I24" s="41"/>
      <x:c r="J24" s="41"/>
      <x:c r="K24" s="41"/>
      <x:c r="L24" s="5"/>
    </x:row>
    <x:row r="25" ht="23" customHeight="1">
      <x:c r="A25" s="5"/>
      <x:c r="B25" s="54" t="str">
        <x:v>Lower-cost plan</x:v>
      </x:c>
      <x:c r="C25" s="54"/>
      <x:c r="D25" s="54"/>
      <x:c r="E25" s="54"/>
      <x:c r="F25" s="100" t="str">
        <x:f>IF(F24&gt;0,"Premier",IF(F24&lt;0,"Select","Same cost"))</x:f>
        <x:v>Premier</x:v>
      </x:c>
      <x:c r="G25" s="100"/>
      <x:c r="H25" s="54" t="str">
        <x:v>Current scenario only</x:v>
      </x:c>
      <x:c r="I25" s="54"/>
      <x:c r="J25" s="54"/>
      <x:c r="K25" s="54"/>
      <x:c r="L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</x:row>
    <x:row r="27" ht="24" customHeight="1">
      <x:c r="A27" s="5"/>
      <x:c r="B27" s="471" t="str">
        <x:v>Select PayFac operating cost</x:v>
      </x:c>
      <x:c r="C27" s="471"/>
      <x:c r="D27" s="471"/>
      <x:c r="E27" s="471"/>
      <x:c r="F27" s="609" t="n">
        <x:f>'Cost Center'!F18</x:f>
        <x:v>696.061403508772</x:v>
      </x:c>
      <x:c r="G27" s="609"/>
      <x:c r="H27" s="471" t="str">
        <x:v>Detailed PayFac rate-card cost</x:v>
      </x:c>
      <x:c r="I27" s="471"/>
      <x:c r="J27" s="54"/>
      <x:c r="K27" s="54"/>
      <x:c r="L27" s="5"/>
    </x:row>
    <x:row r="28" ht="24" customHeight="1">
      <x:c r="A28" s="5"/>
      <x:c r="B28" s="465" t="str">
        <x:v>Premier PayFac operating cost</x:v>
      </x:c>
      <x:c r="C28" s="465"/>
      <x:c r="D28" s="465"/>
      <x:c r="E28" s="465"/>
      <x:c r="F28" s="611" t="n">
        <x:f>'Cost Center'!I18</x:f>
        <x:v>698.1030701754387</x:v>
      </x:c>
      <x:c r="G28" s="611"/>
      <x:c r="H28" s="465" t="str">
        <x:v>Detailed PayFac rate-card cost</x:v>
      </x:c>
      <x:c r="I28" s="465"/>
      <x:c r="J28" s="41"/>
      <x:c r="K28" s="41"/>
      <x:c r="L28" s="5"/>
    </x:row>
    <x:row r="29" ht="24" customHeight="1">
      <x:c r="A29" s="5"/>
      <x:c r="B29" s="471" t="str">
        <x:v>Cost model basis</x:v>
      </x:c>
      <x:c r="C29" s="471"/>
      <x:c r="D29" s="471"/>
      <x:c r="E29" s="471"/>
      <x:c r="F29" s="647" t="str">
        <x:f>'Cost Center'!F5</x:f>
        <x:v>Planning</x:v>
      </x:c>
      <x:c r="G29" s="647"/>
      <x:c r="H29" s="471" t="str">
        <x:v>Planning, Contracted or Actual</x:v>
      </x:c>
      <x:c r="I29" s="471"/>
      <x:c r="J29" s="54"/>
      <x:c r="K29" s="54"/>
      <x:c r="L29" s="5"/>
    </x:row>
    <x:row r="30" ht="24" customHeight="1">
      <x:c r="A30" s="5"/>
      <x:c r="B30" s="465" t="str">
        <x:v>Select PayFac contribution</x:v>
      </x:c>
      <x:c r="C30" s="465"/>
      <x:c r="D30" s="465"/>
      <x:c r="E30" s="465"/>
      <x:c r="F30" s="611" t="n">
        <x:f>F11-F10-F27</x:f>
        <x:v>603.938596491228</x:v>
      </x:c>
      <x:c r="G30" s="611"/>
      <x:c r="H30" s="465" t="str">
        <x:v>Processing after card-brand and PayFac operating costs</x:v>
      </x:c>
      <x:c r="I30" s="465"/>
      <x:c r="J30" s="41"/>
      <x:c r="K30" s="41"/>
      <x:c r="L30" s="5"/>
    </x:row>
    <x:row r="31" ht="24" customHeight="1">
      <x:c r="A31" s="5"/>
      <x:c r="B31" s="471" t="str">
        <x:v>Premier PayFac contribution</x:v>
      </x:c>
      <x:c r="C31" s="471"/>
      <x:c r="D31" s="471"/>
      <x:c r="E31" s="471"/>
      <x:c r="F31" s="609" t="n">
        <x:f>F13-F10-F21-F28</x:f>
        <x:v>-58.10307017543869</x:v>
      </x:c>
      <x:c r="G31" s="609"/>
      <x:c r="H31" s="471" t="str">
        <x:v>Processing after card-brand, provider-fee bonus and PayFac costs</x:v>
      </x:c>
      <x:c r="I31" s="471"/>
      <x:c r="J31" s="54"/>
      <x:c r="K31" s="54"/>
      <x:c r="L31" s="5"/>
    </x:row>
    <x:row r="32" ht="24" customHeight="1">
      <x:c r="A32" s="5"/>
      <x:c r="B32" s="465" t="str">
        <x:v>Issuer income paid to us</x:v>
      </x:c>
      <x:c r="C32" s="465"/>
      <x:c r="D32" s="465"/>
      <x:c r="E32" s="465"/>
      <x:c r="F32" s="611" t="n">
        <x:f>F9*SUMPRODUCT('Inputs'!C28:G28,'Inputs'!C29:G29)/SUM('Inputs'!C28:G28)</x:f>
        <x:v>336</x:v>
      </x:c>
      <x:c r="G32" s="611"/>
      <x:c r="H32" s="465" t="str">
        <x:v>Weighted net issuer remittance</x:v>
      </x:c>
      <x:c r="I32" s="465"/>
      <x:c r="J32" s="41"/>
      <x:c r="K32" s="41"/>
      <x:c r="L32" s="5"/>
    </x:row>
    <x:row r="33" ht="24" customHeight="1">
      <x:c r="A33" s="5"/>
      <x:c r="B33" s="471" t="str">
        <x:v>Select issuing operating cost</x:v>
      </x:c>
      <x:c r="C33" s="471"/>
      <x:c r="D33" s="471"/>
      <x:c r="E33" s="471"/>
      <x:c r="F33" s="609" t="n">
        <x:f>'Cost Center'!F19</x:f>
        <x:v>121.45228310502283</x:v>
      </x:c>
      <x:c r="G33" s="609"/>
      <x:c r="H33" s="471" t="str">
        <x:v>Detailed issuing rate-card cost</x:v>
      </x:c>
      <x:c r="I33" s="471"/>
      <x:c r="J33" s="54"/>
      <x:c r="K33" s="54"/>
      <x:c r="L33" s="5"/>
    </x:row>
    <x:row r="34" ht="24" customHeight="1">
      <x:c r="A34" s="5"/>
      <x:c r="B34" s="465" t="str">
        <x:v>Premier issuing operating cost</x:v>
      </x:c>
      <x:c r="C34" s="465"/>
      <x:c r="D34" s="465"/>
      <x:c r="E34" s="465"/>
      <x:c r="F34" s="611" t="n">
        <x:f>'Cost Center'!I19</x:f>
        <x:v>123.49394977168949</x:v>
      </x:c>
      <x:c r="G34" s="611"/>
      <x:c r="H34" s="465" t="str">
        <x:v>Detailed issuing rate-card cost</x:v>
      </x:c>
      <x:c r="I34" s="465"/>
      <x:c r="J34" s="41"/>
      <x:c r="K34" s="41"/>
      <x:c r="L34" s="5"/>
    </x:row>
    <x:row r="35" ht="24" customHeight="1">
      <x:c r="A35" s="5"/>
      <x:c r="B35" s="471" t="str">
        <x:v>Select issuing contribution</x:v>
      </x:c>
      <x:c r="C35" s="471"/>
      <x:c r="D35" s="471"/>
      <x:c r="E35" s="471"/>
      <x:c r="F35" s="609" t="n">
        <x:f>F32-F14-F33</x:f>
        <x:v>94.54771689497717</x:v>
      </x:c>
      <x:c r="G35" s="609"/>
      <x:c r="H35" s="471" t="str">
        <x:v>Issuer income after base cashback and issuing costs</x:v>
      </x:c>
      <x:c r="I35" s="471"/>
      <x:c r="J35" s="54"/>
      <x:c r="K35" s="54"/>
      <x:c r="L35" s="5"/>
    </x:row>
    <x:row r="36" ht="24" customHeight="1">
      <x:c r="A36" s="5"/>
      <x:c r="B36" s="465" t="str">
        <x:v>Premier issuing contribution</x:v>
      </x:c>
      <x:c r="C36" s="465"/>
      <x:c r="D36" s="465"/>
      <x:c r="E36" s="465"/>
      <x:c r="F36" s="611" t="n">
        <x:f>F32-F15-F20-F34</x:f>
        <x:v>-27.493949771689486</x:v>
      </x:c>
      <x:c r="G36" s="611"/>
      <x:c r="H36" s="465" t="str">
        <x:v>Issuer income after base cashback, spending bonus and issuing costs</x:v>
      </x:c>
      <x:c r="I36" s="465"/>
      <x:c r="J36" s="41"/>
      <x:c r="K36" s="41"/>
      <x:c r="L36" s="5"/>
    </x:row>
    <x:row r="37" ht="24" customHeight="1">
      <x:c r="A37" s="5"/>
      <x:c r="B37" s="471" t="str">
        <x:v>Select membership contribution</x:v>
      </x:c>
      <x:c r="C37" s="471"/>
      <x:c r="D37" s="471"/>
      <x:c r="E37" s="471"/>
      <x:c r="F37" s="609" t="n">
        <x:f>'Inputs'!F9-'Cost Center'!F17</x:f>
        <x:v>74.18</x:v>
      </x:c>
      <x:c r="G37" s="609"/>
      <x:c r="H37" s="471" t="str">
        <x:v>Membership fee after membership operating cost</x:v>
      </x:c>
      <x:c r="I37" s="471"/>
      <x:c r="J37" s="54"/>
      <x:c r="K37" s="54"/>
      <x:c r="L37" s="5"/>
    </x:row>
    <x:row r="38" ht="24" customHeight="1">
      <x:c r="A38" s="5"/>
      <x:c r="B38" s="465" t="str">
        <x:v>Premier membership contribution</x:v>
      </x:c>
      <x:c r="C38" s="465"/>
      <x:c r="D38" s="465"/>
      <x:c r="E38" s="465"/>
      <x:c r="F38" s="611" t="n">
        <x:f>'Inputs'!I9-'Cost Center'!I17</x:f>
        <x:v>244.4</x:v>
      </x:c>
      <x:c r="G38" s="611"/>
      <x:c r="H38" s="465" t="str">
        <x:v>Membership fee after membership operating cost</x:v>
      </x:c>
      <x:c r="I38" s="465"/>
      <x:c r="J38" s="41"/>
      <x:c r="K38" s="41"/>
      <x:c r="L38" s="5"/>
    </x:row>
    <x:row r="39" ht="24" customHeight="1">
      <x:c r="A39" s="5"/>
      <x:c r="B39" s="471" t="str">
        <x:v>Select shared and partner cost</x:v>
      </x:c>
      <x:c r="C39" s="471"/>
      <x:c r="D39" s="471"/>
      <x:c r="E39" s="471"/>
      <x:c r="F39" s="609" t="n">
        <x:f>'Cost Center'!F20+'Cost Center'!F21</x:f>
        <x:v>105.5</x:v>
      </x:c>
      <x:c r="G39" s="609"/>
      <x:c r="H39" s="471" t="str">
        <x:v>Shared infrastructure, compliance and partner cost</x:v>
      </x:c>
      <x:c r="I39" s="471"/>
      <x:c r="J39" s="54"/>
      <x:c r="K39" s="54"/>
      <x:c r="L39" s="5"/>
    </x:row>
    <x:row r="40" ht="24" customHeight="1">
      <x:c r="A40" s="5"/>
      <x:c r="B40" s="465" t="str">
        <x:v>Select total contribution</x:v>
      </x:c>
      <x:c r="C40" s="465"/>
      <x:c r="D40" s="465"/>
      <x:c r="E40" s="465"/>
      <x:c r="F40" s="611" t="n">
        <x:f>F30+F35+F37-F39</x:f>
        <x:v>667.1663133862053</x:v>
      </x:c>
      <x:c r="G40" s="611"/>
      <x:c r="H40" s="465" t="str">
        <x:v>Contribution after modeled costs</x:v>
      </x:c>
      <x:c r="I40" s="465"/>
      <x:c r="J40" s="41"/>
      <x:c r="K40" s="41"/>
      <x:c r="L40" s="5"/>
    </x:row>
    <x:row r="41" ht="24" customHeight="1">
      <x:c r="A41" s="5"/>
      <x:c r="B41" s="471" t="str">
        <x:v>Premier total contribution</x:v>
      </x:c>
      <x:c r="C41" s="471"/>
      <x:c r="D41" s="471"/>
      <x:c r="E41" s="471"/>
      <x:c r="F41" s="609" t="n">
        <x:f>F31+F36+F38-F44</x:f>
        <x:v>53.30298005287182</x:v>
      </x:c>
      <x:c r="G41" s="609"/>
      <x:c r="H41" s="471" t="str">
        <x:v>Contribution after modeled costs</x:v>
      </x:c>
      <x:c r="I41" s="471"/>
      <x:c r="J41" s="54"/>
      <x:c r="K41" s="54"/>
      <x:c r="L41" s="5"/>
    </x:row>
    <x:row r="42" ht="24" customHeight="1">
      <x:c r="A42" s="5"/>
      <x:c r="B42" s="465" t="str">
        <x:v>Premier contribution change</x:v>
      </x:c>
      <x:c r="C42" s="465"/>
      <x:c r="D42" s="465"/>
      <x:c r="E42" s="465"/>
      <x:c r="F42" s="611" t="n">
        <x:f>F41-F40</x:f>
        <x:v>-613.8633333333335</x:v>
      </x:c>
      <x:c r="G42" s="611"/>
      <x:c r="H42" s="465" t="str">
        <x:v>Same customer activity</x:v>
      </x:c>
      <x:c r="I42" s="465"/>
      <x:c r="J42" s="41"/>
      <x:c r="K42" s="41"/>
      <x:c r="L42" s="5"/>
    </x:row>
    <x:row r="43" ht="24" customHeight="1">
      <x:c r="A43" s="5"/>
      <x:c r="B43" s="471" t="str">
        <x:v>Missing rate-card lines</x:v>
      </x:c>
      <x:c r="C43" s="471"/>
      <x:c r="D43" s="471"/>
      <x:c r="E43" s="471"/>
      <x:c r="F43" s="644" t="n">
        <x:f>'Cost Center'!F28</x:f>
        <x:v>25</x:v>
      </x:c>
      <x:c r="G43" s="644"/>
      <x:c r="H43" s="471" t="str">
        <x:v>Enabled cost rows with no rate in the selected basis</x:v>
      </x:c>
      <x:c r="I43" s="471"/>
      <x:c r="J43" s="54"/>
      <x:c r="K43" s="54"/>
      <x:c r="L43" s="5"/>
    </x:row>
    <x:row r="44" ht="24" customHeight="1">
      <x:c r="A44" s="5"/>
      <x:c r="B44" s="465" t="str">
        <x:v>Premier shared and partner cost</x:v>
      </x:c>
      <x:c r="C44" s="465"/>
      <x:c r="D44" s="465"/>
      <x:c r="E44" s="465"/>
      <x:c r="F44" s="611" t="n">
        <x:f>'Cost Center'!I20+'Cost Center'!I21</x:f>
        <x:v>105.5</x:v>
      </x:c>
      <x:c r="G44" s="611"/>
      <x:c r="H44" s="465" t="str">
        <x:v>Shared infrastructure, compliance and partner cost</x:v>
      </x:c>
      <x:c r="I44" s="465"/>
      <x:c r="J44" s="5"/>
      <x:c r="K44" s="5"/>
      <x:c r="L44" s="5"/>
    </x:row>
    <x:row r="45" ht="24" customHeight="1">
      <x:c r="A45" s="5"/>
      <x:c r="B45" s="471" t="str">
        <x:v>Cost completeness</x:v>
      </x:c>
      <x:c r="C45" s="471"/>
      <x:c r="D45" s="471"/>
      <x:c r="E45" s="471"/>
      <x:c r="F45" s="648" t="n">
        <x:f>'Cost Center'!F27</x:f>
        <x:v>0.5833333333333333</x:v>
      </x:c>
      <x:c r="G45" s="648"/>
      <x:c r="H45" s="471" t="str">
        <x:v>Rate coverage in the selected basis</x:v>
      </x:c>
      <x:c r="I45" s="471"/>
      <x:c r="J45" s="5"/>
      <x:c r="K45" s="5"/>
      <x:c r="L45" s="5"/>
    </x:row>
    <x:row r="46" ht="24" customHeight="1">
      <x:c r="A46" s="5"/>
      <x:c r="B46" s="465" t="str">
        <x:v>Total modeled operating cost — Select</x:v>
      </x:c>
      <x:c r="C46" s="465"/>
      <x:c r="D46" s="465"/>
      <x:c r="E46" s="465"/>
      <x:c r="F46" s="611" t="n">
        <x:f>'Cost Center'!F22</x:f>
        <x:v>968.8336866137948</x:v>
      </x:c>
      <x:c r="G46" s="611"/>
      <x:c r="H46" s="465" t="str">
        <x:v>All enabled rate-card costs</x:v>
      </x:c>
      <x:c r="I46" s="465"/>
      <x:c r="J46" s="95"/>
      <x:c r="K46" s="95"/>
      <x:c r="L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</x:row>
  </x:sheetData>
  <x:mergeCells>
    <x:mergeCell ref="B2:K2"/>
    <x:mergeCell ref="B3:K3"/>
    <x:mergeCell ref="B6:E6"/>
    <x:mergeCell ref="F6:G6"/>
    <x:mergeCell ref="H6:K6"/>
    <x:mergeCell ref="B7:E7"/>
    <x:mergeCell ref="F7:G7"/>
    <x:mergeCell ref="H7:K7"/>
    <x:mergeCell ref="B8:E8"/>
    <x:mergeCell ref="F8:G8"/>
    <x:mergeCell ref="H8:K8"/>
    <x:mergeCell ref="B9:E9"/>
    <x:mergeCell ref="F9:G9"/>
    <x:mergeCell ref="H9:K9"/>
    <x:mergeCell ref="B10:E10"/>
    <x:mergeCell ref="F10:G10"/>
    <x:mergeCell ref="H10:K10"/>
    <x:mergeCell ref="B11:E11"/>
    <x:mergeCell ref="F11:G11"/>
    <x:mergeCell ref="H11:K11"/>
    <x:mergeCell ref="B12:E12"/>
    <x:mergeCell ref="F12:G12"/>
    <x:mergeCell ref="H12:K12"/>
    <x:mergeCell ref="B13:E13"/>
    <x:mergeCell ref="F13:G13"/>
    <x:mergeCell ref="H13:K13"/>
    <x:mergeCell ref="B14:E14"/>
    <x:mergeCell ref="F14:G14"/>
    <x:mergeCell ref="H14:K14"/>
    <x:mergeCell ref="B15:E15"/>
    <x:mergeCell ref="F15:G15"/>
    <x:mergeCell ref="H15:K15"/>
    <x:mergeCell ref="B16:E16"/>
    <x:mergeCell ref="F16:G16"/>
    <x:mergeCell ref="H16:K16"/>
    <x:mergeCell ref="B17:E17"/>
    <x:mergeCell ref="F17:G17"/>
    <x:mergeCell ref="H17:K17"/>
    <x:mergeCell ref="B18:E18"/>
    <x:mergeCell ref="F18:G18"/>
    <x:mergeCell ref="H18:K18"/>
    <x:mergeCell ref="B19:E19"/>
    <x:mergeCell ref="F19:G19"/>
    <x:mergeCell ref="H19:K19"/>
    <x:mergeCell ref="B20:E20"/>
    <x:mergeCell ref="F20:G20"/>
    <x:mergeCell ref="H20:K20"/>
    <x:mergeCell ref="B21:E21"/>
    <x:mergeCell ref="F21:G21"/>
    <x:mergeCell ref="H21:K21"/>
    <x:mergeCell ref="B22:E22"/>
    <x:mergeCell ref="F22:G22"/>
    <x:mergeCell ref="H22:K22"/>
    <x:mergeCell ref="B23:E23"/>
    <x:mergeCell ref="F23:G23"/>
    <x:mergeCell ref="H23:K23"/>
    <x:mergeCell ref="B24:E24"/>
    <x:mergeCell ref="F24:G24"/>
    <x:mergeCell ref="H24:K24"/>
    <x:mergeCell ref="B25:E25"/>
    <x:mergeCell ref="F25:G25"/>
    <x:mergeCell ref="H25:K25"/>
    <x:mergeCell ref="B27:E27"/>
    <x:mergeCell ref="F27:G27"/>
    <x:mergeCell ref="H27:K27"/>
    <x:mergeCell ref="B28:E28"/>
    <x:mergeCell ref="F28:G28"/>
    <x:mergeCell ref="H28:K28"/>
    <x:mergeCell ref="B29:E29"/>
    <x:mergeCell ref="F29:G29"/>
    <x:mergeCell ref="H29:K29"/>
    <x:mergeCell ref="B30:E30"/>
    <x:mergeCell ref="F30:G30"/>
    <x:mergeCell ref="H30:K30"/>
    <x:mergeCell ref="B31:E31"/>
    <x:mergeCell ref="F31:G31"/>
    <x:mergeCell ref="H31:K31"/>
    <x:mergeCell ref="B32:E32"/>
    <x:mergeCell ref="F32:G32"/>
    <x:mergeCell ref="H32:K32"/>
    <x:mergeCell ref="B33:E33"/>
    <x:mergeCell ref="F33:G33"/>
    <x:mergeCell ref="H33:K33"/>
    <x:mergeCell ref="B34:E34"/>
    <x:mergeCell ref="F34:G34"/>
    <x:mergeCell ref="H34:K34"/>
    <x:mergeCell ref="B35:E35"/>
    <x:mergeCell ref="F35:G35"/>
    <x:mergeCell ref="H35:K35"/>
    <x:mergeCell ref="B36:E36"/>
    <x:mergeCell ref="F36:G36"/>
    <x:mergeCell ref="H36:K36"/>
    <x:mergeCell ref="B37:E37"/>
    <x:mergeCell ref="F37:G37"/>
    <x:mergeCell ref="H37:K37"/>
    <x:mergeCell ref="B38:E38"/>
    <x:mergeCell ref="F38:G38"/>
    <x:mergeCell ref="H38:K38"/>
    <x:mergeCell ref="B39:E39"/>
    <x:mergeCell ref="F39:G39"/>
    <x:mergeCell ref="H39:K39"/>
    <x:mergeCell ref="B40:E40"/>
    <x:mergeCell ref="F40:G40"/>
    <x:mergeCell ref="H40:K40"/>
    <x:mergeCell ref="B41:E41"/>
    <x:mergeCell ref="F41:G41"/>
    <x:mergeCell ref="H41:K41"/>
    <x:mergeCell ref="B42:E42"/>
    <x:mergeCell ref="F42:G42"/>
    <x:mergeCell ref="H42:K42"/>
    <x:mergeCell ref="B43:E43"/>
    <x:mergeCell ref="F43:G43"/>
    <x:mergeCell ref="H43:K43"/>
    <x:mergeCell ref="B46:K46"/>
    <x:mergeCell ref="H27:I27"/>
    <x:mergeCell ref="H28:I28"/>
    <x:mergeCell ref="H29:I29"/>
    <x:mergeCell ref="H30:I30"/>
    <x:mergeCell ref="H31:I31"/>
    <x:mergeCell ref="H32:I32"/>
    <x:mergeCell ref="H33:I33"/>
    <x:mergeCell ref="H34:I34"/>
    <x:mergeCell ref="H35:I35"/>
    <x:mergeCell ref="H36:I36"/>
    <x:mergeCell ref="H37:I37"/>
    <x:mergeCell ref="H38:I38"/>
    <x:mergeCell ref="H39:I39"/>
    <x:mergeCell ref="H40:I40"/>
    <x:mergeCell ref="H41:I41"/>
    <x:mergeCell ref="H42:I42"/>
    <x:mergeCell ref="H43:I43"/>
    <x:mergeCell ref="B44:E44"/>
    <x:mergeCell ref="F44:G44"/>
    <x:mergeCell ref="H44:I44"/>
    <x:mergeCell ref="B45:E45"/>
    <x:mergeCell ref="F45:G45"/>
    <x:mergeCell ref="H45:I45"/>
    <x:mergeCell ref="B46:E46"/>
    <x:mergeCell ref="F46:G46"/>
    <x:mergeCell ref="H46:I4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5" hidden="0" customWidth="1"/>
    <x:col min="3" max="3" width="21" hidden="0" customWidth="1"/>
    <x:col min="4" max="4" width="3" hidden="0" customWidth="1"/>
    <x:col min="5" max="5" width="21" hidden="0" customWidth="1"/>
    <x:col min="6" max="6" width="3" hidden="0" customWidth="1"/>
    <x:col min="7" max="7" width="21" hidden="0" customWidth="1"/>
    <x:col min="8" max="8" width="3" hidden="0" customWidth="1"/>
    <x:col min="9" max="9" width="21" hidden="0" customWidth="1"/>
    <x:col min="10" max="10" width="3" hidden="0" customWidth="1"/>
    <x:col min="11" max="11" width="21" hidden="0" customWidth="1"/>
    <x:col min="12" max="12" width="2.200000047683716" hidden="0" customWidth="1"/>
  </x:cols>
  <x:sheetData>
    <x:row r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5"/>
      <x:c r="B2" s="12" t="str">
        <x:v>Research Basis</x:v>
      </x:c>
      <x:c r="C2" s="12"/>
      <x:c r="D2" s="12"/>
      <x:c r="E2" s="12"/>
      <x:c r="F2" s="12"/>
      <x:c r="G2" s="12"/>
      <x:c r="H2" s="12"/>
      <x:c r="I2" s="12"/>
      <x:c r="J2" s="12"/>
      <x:c r="K2" s="12"/>
      <x:c r="L2" s="5"/>
    </x:row>
    <x:row r="3" ht="24" customHeight="1">
      <x:c r="A3" s="5"/>
      <x:c r="B3" s="18" t="str">
        <x:v>Official-source design principles used in the workflow rebuild.</x:v>
      </x:c>
      <x:c r="C3" s="18"/>
      <x:c r="D3" s="18"/>
      <x:c r="E3" s="18"/>
      <x:c r="F3" s="18"/>
      <x:c r="G3" s="18"/>
      <x:c r="H3" s="18"/>
      <x:c r="I3" s="18"/>
      <x:c r="J3" s="18"/>
      <x:c r="K3" s="18"/>
      <x:c r="L3" s="5"/>
    </x:row>
    <x:row r="4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5" ht="31" customHeight="1">
      <x:c r="A5" s="5"/>
      <x:c r="B5" s="111" t="str">
        <x:v>These sources support the workflow architecture. They do not validate the proposed pricing, economics or regulatory implementation.</x:v>
      </x:c>
      <x:c r="C5" s="111"/>
      <x:c r="D5" s="111"/>
      <x:c r="E5" s="111"/>
      <x:c r="F5" s="111"/>
      <x:c r="G5" s="111"/>
      <x:c r="H5" s="111"/>
      <x:c r="I5" s="111"/>
      <x:c r="J5" s="111"/>
      <x:c r="K5" s="111"/>
      <x:c r="L5" s="5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</x:row>
    <x:row r="7" ht="25" customHeight="1">
      <x:c r="A7" s="5"/>
      <x:c r="B7" s="35" t="str">
        <x:v>LEADER / SOURCE</x:v>
      </x:c>
      <x:c r="C7" s="35"/>
      <x:c r="D7" s="35" t="str">
        <x:v>DESIGN PRINCIPLE</x:v>
      </x:c>
      <x:c r="E7" s="35"/>
      <x:c r="F7" s="35" t="str">
        <x:v>HOW IT CHANGED THE WORKBOOK</x:v>
      </x:c>
      <x:c r="G7" s="35"/>
      <x:c r="H7" s="35" t="str">
        <x:v>OFFICIAL URL</x:v>
      </x:c>
      <x:c r="I7" s="35"/>
      <x:c r="J7" s="35"/>
      <x:c r="K7" s="35"/>
      <x:c r="L7" s="5"/>
    </x:row>
    <x:row r="8" ht="55" customHeight="1">
      <x:c r="A8" s="5"/>
      <x:c r="B8" s="116" t="str">
        <x:v>SAP Signavio — Value Chains</x:v>
      </x:c>
      <x:c r="C8" s="116"/>
      <x:c r="D8" s="40" t="str">
        <x:v>Use a high-level process landscape before detailed workflows.</x:v>
      </x:c>
      <x:c r="E8" s="40"/>
      <x:c r="F8" s="40" t="str">
        <x:v>Added Level 0–Level 4 process hierarchy and six value streams.</x:v>
      </x:c>
      <x:c r="G8" s="40"/>
      <x:c r="H8" s="418" t="str">
        <x:v>https://help.sap.com/docs/signavio-process-manager/user-guide/value-chains</x:v>
      </x:c>
      <x:c r="I8" s="418"/>
      <x:c r="J8" s="418"/>
      <x:c r="K8" s="418"/>
      <x:c r="L8" s="5"/>
    </x:row>
    <x:row r="9" ht="55" customHeight="1">
      <x:c r="A9" s="5"/>
      <x:c r="B9" s="114" t="str">
        <x:v>SAP Signavio — Journey Integration</x:v>
      </x:c>
      <x:c r="C9" s="114"/>
      <x:c r="D9" s="53" t="str">
        <x:v>Link customer journey steps to internal business processes.</x:v>
      </x:c>
      <x:c r="E9" s="53"/>
      <x:c r="F9" s="53" t="str">
        <x:v>Separated Customer Lifecycle from Value Streams and linked both through services.</x:v>
      </x:c>
      <x:c r="G9" s="53"/>
      <x:c r="H9" s="420" t="str">
        <x:v>https://help.sap.com/docs/signavio-process-manager/user-guide/integrate-customer-journey-maps</x:v>
      </x:c>
      <x:c r="I9" s="420"/>
      <x:c r="J9" s="420"/>
      <x:c r="K9" s="420"/>
      <x:c r="L9" s="5"/>
    </x:row>
    <x:row r="10" ht="55" customHeight="1">
      <x:c r="A10" s="5"/>
      <x:c r="B10" s="116" t="str">
        <x:v>SAP Signavio — KPIs / Process Intelligence</x:v>
      </x:c>
      <x:c r="C10" s="116"/>
      <x:c r="D10" s="40" t="str">
        <x:v>Attach KPIs to processes and compare intended versus actual paths.</x:v>
      </x:c>
      <x:c r="E10" s="40"/>
      <x:c r="F10" s="40" t="str">
        <x:v>Added value-stream KPIs, closed-loop improvement and future process-mining structure.</x:v>
      </x:c>
      <x:c r="G10" s="40"/>
      <x:c r="H10" s="418" t="str">
        <x:v>https://help.sap.com/docs/signavio-process-intelligence/user-guide/customizable-metrics</x:v>
      </x:c>
      <x:c r="I10" s="418"/>
      <x:c r="J10" s="418"/>
      <x:c r="K10" s="418"/>
      <x:c r="L10" s="5"/>
    </x:row>
    <x:row r="11" ht="55" customHeight="1">
      <x:c r="A11" s="5"/>
      <x:c r="B11" s="114" t="str">
        <x:v>Salesforce — Journey Orchestration</x:v>
      </x:c>
      <x:c r="C11" s="114"/>
      <x:c r="D11" s="53" t="str">
        <x:v>Manage acquisition, onboarding, retention and loyalty as one customer lifecycle.</x:v>
      </x:c>
      <x:c r="E11" s="53"/>
      <x:c r="F11" s="53" t="str">
        <x:v>Rebuilt the customer model around Discover → Join → Verify → Activate → Use → Grow → Support → Renew.</x:v>
      </x:c>
      <x:c r="G11" s="53"/>
      <x:c r="H11" s="420" t="str">
        <x:v>https://www.salesforce.com/marketing/journey-orchestration/</x:v>
      </x:c>
      <x:c r="I11" s="420"/>
      <x:c r="J11" s="420"/>
      <x:c r="K11" s="420"/>
      <x:c r="L11" s="5"/>
    </x:row>
    <x:row r="12" ht="55" customHeight="1">
      <x:c r="A12" s="5"/>
      <x:c r="B12" s="116" t="str">
        <x:v>Salesforce — Data 360 Architecture</x:v>
      </x:c>
      <x:c r="C12" s="116"/>
      <x:c r="D12" s="40" t="str">
        <x:v>Standardize and harmonize data into a unified, current customer profile.</x:v>
      </x:c>
      <x:c r="E12" s="40"/>
      <x:c r="F12" s="40" t="str">
        <x:v>Created one persistent Member and a unified-context data model across memberships, services and events.</x:v>
      </x:c>
      <x:c r="G12" s="40"/>
      <x:c r="H12" s="418" t="str">
        <x:v>https://architect.salesforce.com/docs/architect/fundamentals/guide/data-360-architecture.html</x:v>
      </x:c>
      <x:c r="I12" s="418"/>
      <x:c r="J12" s="418"/>
      <x:c r="K12" s="418"/>
      <x:c r="L12" s="5"/>
    </x:row>
    <x:row r="13" ht="55" customHeight="1">
      <x:c r="A13" s="5"/>
      <x:c r="B13" s="114" t="str">
        <x:v>Salesforce — Integration Patterns</x:v>
      </x:c>
      <x:c r="C13" s="114"/>
      <x:c r="D13" s="53" t="str">
        <x:v>Orchestrate long-running multi-step work, but keep true transaction handling in the appropriate transaction layer.</x:v>
      </x:c>
      <x:c r="E13" s="53"/>
      <x:c r="F13" s="53" t="str">
        <x:v>Separated business orchestration from payment transaction processing and settlement.</x:v>
      </x:c>
      <x:c r="G13" s="53"/>
      <x:c r="H13" s="420" t="str">
        <x:v>https://architect.salesforce.com/docs/architect/fundamentals/guide/integration-patterns.html</x:v>
      </x:c>
      <x:c r="I13" s="420"/>
      <x:c r="J13" s="420"/>
      <x:c r="K13" s="420"/>
      <x:c r="L13" s="5"/>
    </x:row>
    <x:row r="14" ht="55" customHeight="1">
      <x:c r="A14" s="5"/>
      <x:c r="B14" s="116" t="str">
        <x:v>ServiceNow — CSDM</x:v>
      </x:c>
      <x:c r="C14" s="116"/>
      <x:c r="D14" s="40" t="str">
        <x:v>Separate capability, service, offering, subscription, instance and operational records.</x:v>
      </x:c>
      <x:c r="E14" s="40"/>
      <x:c r="F14" s="40" t="str">
        <x:v>Created Service Portfolio and Data Model sheets; stopped mixing plans, workspaces and workflows.</x:v>
      </x:c>
      <x:c r="G14" s="40"/>
      <x:c r="H14" s="418" t="str">
        <x:v>https://www.servicenow.com/docs/r/servicenow-platform/common-service-data-model-csdm/csdm-term-definitions.html</x:v>
      </x:c>
      <x:c r="I14" s="418"/>
      <x:c r="J14" s="418"/>
      <x:c r="K14" s="418"/>
      <x:c r="L14" s="5"/>
    </x:row>
    <x:row r="15" ht="55" customHeight="1">
      <x:c r="A15" s="5"/>
      <x:c r="B15" s="114" t="str">
        <x:v>ServiceNow — Service Catalog</x:v>
      </x:c>
      <x:c r="C15" s="114"/>
      <x:c r="D15" s="53" t="str">
        <x:v>Present consumable services in a self-service catalog.</x:v>
      </x:c>
      <x:c r="E15" s="53"/>
      <x:c r="F15" s="53" t="str">
        <x:v>Rebuilt the customer home around what the customer wants to do, not internal products.</x:v>
      </x:c>
      <x:c r="G15" s="53"/>
      <x:c r="H15" s="420" t="str">
        <x:v>https://www.servicenow.com/docs/r/servicenow-platform/service-catalog/service-catalog.html</x:v>
      </x:c>
      <x:c r="I15" s="420"/>
      <x:c r="J15" s="420"/>
      <x:c r="K15" s="420"/>
      <x:c r="L15" s="5"/>
    </x:row>
    <x:row r="16" ht="55" customHeight="1">
      <x:c r="A16" s="5"/>
      <x:c r="B16" s="116" t="str">
        <x:v>ServiceNow — Configurable Workspace</x:v>
      </x:c>
      <x:c r="C16" s="116"/>
      <x:c r="D16" s="40" t="str">
        <x:v>Use landing pages, KPIs, work lists and record context for different roles.</x:v>
      </x:c>
      <x:c r="E16" s="40"/>
      <x:c r="F16" s="40" t="str">
        <x:v>Created Command Center and Operations Workspace as management landing pages.</x:v>
      </x:c>
      <x:c r="G16" s="40"/>
      <x:c r="H16" s="418" t="str">
        <x:v>https://www.servicenow.com/docs/r/zurich/customer-service-management/csm-config-workspace-overview.html</x:v>
      </x:c>
      <x:c r="I16" s="418"/>
      <x:c r="J16" s="418"/>
      <x:c r="K16" s="418"/>
      <x:c r="L16" s="5"/>
    </x:row>
    <x:row r="17" ht="55" customHeight="1">
      <x:c r="A17" s="5"/>
      <x:c r="B17" s="114" t="str">
        <x:v>ServiceNow — Onboarding Playbook</x:v>
      </x:c>
      <x:c r="C17" s="114"/>
      <x:c r="D17" s="53" t="str">
        <x:v>Show end-to-end lifecycle, current stage, current activity, related records and SLA context.</x:v>
      </x:c>
      <x:c r="E17" s="53"/>
      <x:c r="F17" s="53" t="str">
        <x:v>Added guided playbooks and common case states for onboarding and support.</x:v>
      </x:c>
      <x:c r="G17" s="53"/>
      <x:c r="H17" s="420" t="str">
        <x:v>https://www.servicenow.com/docs/r/xanadu/customer-service-management/csm-case-type-onboarding.html</x:v>
      </x:c>
      <x:c r="I17" s="420"/>
      <x:c r="J17" s="420"/>
      <x:c r="K17" s="420"/>
      <x:c r="L17" s="5"/>
    </x:row>
    <x:row r="18" ht="55" customHeight="1">
      <x:c r="A18" s="5"/>
      <x:c r="B18" s="116" t="str">
        <x:v>ServiceNow — Process Mining</x:v>
      </x:c>
      <x:c r="C18" s="116"/>
      <x:c r="D18" s="40" t="str">
        <x:v>Use event logs to expose variants, bottlenecks, rework and non-conformance.</x:v>
      </x:c>
      <x:c r="E18" s="40"/>
      <x:c r="F18" s="40" t="str">
        <x:v>Added closed-loop improvement and future event/KPI requirements.</x:v>
      </x:c>
      <x:c r="G18" s="40"/>
      <x:c r="H18" s="418" t="str">
        <x:v>https://www.servicenow.com/products/process-mining.html</x:v>
      </x:c>
      <x:c r="I18" s="418"/>
      <x:c r="J18" s="418"/>
      <x:c r="K18" s="418"/>
      <x:c r="L18" s="5"/>
    </x:row>
    <x:row r="19" ht="55" customHeight="1">
      <x:c r="A19" s="5"/>
      <x:c r="B19" s="114" t="str">
        <x:v>ServiceNow — Financial Services Operations</x:v>
      </x:c>
      <x:c r="C19" s="114"/>
      <x:c r="D19" s="53" t="str">
        <x:v>Coordinate multi-step payment inquiries, claims, complaints and card-operation cases across teams.</x:v>
      </x:c>
      <x:c r="E19" s="53"/>
      <x:c r="F19" s="53" t="str">
        <x:v>Expanded Help &amp; Resolve into formal queues and case playbooks.</x:v>
      </x:c>
      <x:c r="G19" s="53"/>
      <x:c r="H19" s="420" t="str">
        <x:v>https://www.servicenow.com/docs/r/yokohama/financial-services-operations/financial-services-payment-operations/payment-operations-overview.html</x:v>
      </x:c>
      <x:c r="I19" s="420"/>
      <x:c r="J19" s="420"/>
      <x:c r="K19" s="420"/>
      <x:c r="L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</x:row>
    <x:row r="23" ht="24" customHeight="1">
      <x:c r="A23" s="5"/>
      <x:c r="B23" s="28" t="str">
        <x:v>Conclusion from the benchmark</x:v>
      </x:c>
      <x:c r="C23" s="28"/>
      <x:c r="D23" s="28"/>
      <x:c r="E23" s="28"/>
      <x:c r="F23" s="28"/>
      <x:c r="G23" s="28"/>
      <x:c r="H23" s="28"/>
      <x:c r="I23" s="28"/>
      <x:c r="J23" s="28"/>
      <x:c r="K23" s="28"/>
      <x:c r="L23" s="5"/>
    </x:row>
    <x:row r="24" ht="38" customHeight="1">
      <x:c r="A24" s="5"/>
      <x:c r="B24" s="276" t="str">
        <x:v>What was wrong before</x:v>
      </x:c>
      <x:c r="C24" s="276"/>
      <x:c r="D24" s="276"/>
      <x:c r="E24" s="76" t="str">
        <x:v>The previous workflow mixed commercial entitlement, customer context, service execution, lifecycle and economics in one sequence.</x:v>
      </x:c>
      <x:c r="F24" s="76"/>
      <x:c r="G24" s="76"/>
      <x:c r="H24" s="76"/>
      <x:c r="I24" s="76"/>
      <x:c r="J24" s="76"/>
      <x:c r="K24" s="76"/>
      <x:c r="L24" s="5"/>
    </x:row>
    <x:row r="25" ht="38" customHeight="1">
      <x:c r="A25" s="5"/>
      <x:c r="B25" s="278" t="str">
        <x:v>What is better now</x:v>
      </x:c>
      <x:c r="C25" s="278"/>
      <x:c r="D25" s="278"/>
      <x:c r="E25" s="66" t="str">
        <x:v>Each layer has one job: membership sets entitlement; workspace sets context; service defines customer value; playbook runs the work; data model connects the records; economics measures the outcome.</x:v>
      </x:c>
      <x:c r="F25" s="66"/>
      <x:c r="G25" s="66"/>
      <x:c r="H25" s="66"/>
      <x:c r="I25" s="66"/>
      <x:c r="J25" s="66"/>
      <x:c r="K25" s="66"/>
      <x:c r="L25" s="5"/>
    </x:row>
    <x:row r="26" ht="38" customHeight="1">
      <x:c r="A26" s="5"/>
      <x:c r="B26" s="276" t="str">
        <x:v>What remains unchanged</x:v>
      </x:c>
      <x:c r="C26" s="276"/>
      <x:c r="D26" s="276"/>
      <x:c r="E26" s="76" t="str">
        <x:v>Select/Premier pricing, 0.50% common base cashback, Premier shared bonus cap and the current default financial scenario.</x:v>
      </x:c>
      <x:c r="F26" s="76"/>
      <x:c r="G26" s="76"/>
      <x:c r="H26" s="76"/>
      <x:c r="I26" s="76"/>
      <x:c r="J26" s="76"/>
      <x:c r="K26" s="76"/>
      <x:c r="L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</x:row>
    <x:row r="30">
      <x:c r="A30" s="5"/>
      <x:c r="B30" s="459" t="str">
        <x:v>Cost-model research basis</x:v>
      </x:c>
      <x:c r="C30" s="459"/>
      <x:c r="D30" s="459"/>
      <x:c r="E30" s="459"/>
      <x:c r="F30" s="459"/>
      <x:c r="G30" s="459"/>
      <x:c r="H30" s="459"/>
      <x:c r="I30" s="459"/>
      <x:c r="J30" s="459"/>
      <x:c r="K30" s="459"/>
      <x:c r="L30" s="5"/>
    </x:row>
    <x:row r="31">
      <x:c r="A31" s="5"/>
      <x:c r="B31" s="463" t="str">
        <x:v>SOURCE</x:v>
      </x:c>
      <x:c r="C31" s="463"/>
      <x:c r="D31" s="463" t="str">
        <x:v>COST PRINCIPLE</x:v>
      </x:c>
      <x:c r="E31" s="463"/>
      <x:c r="F31" s="463" t="str">
        <x:v>WORKBOOK IMPLEMENTATION</x:v>
      </x:c>
      <x:c r="G31" s="463"/>
      <x:c r="H31" s="463" t="str">
        <x:v>OFFICIAL URL</x:v>
      </x:c>
      <x:c r="I31" s="463"/>
      <x:c r="J31" s="463"/>
      <x:c r="K31" s="463"/>
      <x:c r="L31" s="5"/>
    </x:row>
    <x:row r="32" ht="53" customHeight="1">
      <x:c r="A32" s="5"/>
      <x:c r="B32" s="720" t="str">
        <x:v>SAP — Cost Elements</x:v>
      </x:c>
      <x:c r="C32" s="720"/>
      <x:c r="D32" s="464" t="str">
        <x:v>Costs should be categorized as explicit cost elements.</x:v>
      </x:c>
      <x:c r="E32" s="464"/>
      <x:c r="F32" s="464" t="str">
        <x:v>Rate Cards assigns a cost element, cost center and engine to every row.</x:v>
      </x:c>
      <x:c r="G32" s="464"/>
      <x:c r="H32" s="732" t="str">
        <x:v>https://help.sap.com/docs/SAP_ERP/b42281c1645049a4b07c0ab25ec8b899/f9acc2531bb9b44ce10000000a174cb4.html</x:v>
      </x:c>
      <x:c r="I32" s="732"/>
      <x:c r="J32" s="732"/>
      <x:c r="K32" s="732"/>
      <x:c r="L32" s="5"/>
    </x:row>
    <x:row r="33" ht="53" customHeight="1">
      <x:c r="A33" s="5"/>
      <x:c r="B33" s="719" t="str">
        <x:v>SAP — Cost Centers and Activity Types</x:v>
      </x:c>
      <x:c r="C33" s="719"/>
      <x:c r="D33" s="470" t="str">
        <x:v>Operational activity should be valued using defined activity quantities and prices.</x:v>
      </x:c>
      <x:c r="E33" s="470"/>
      <x:c r="F33" s="470" t="str">
        <x:v>Cost Drivers supplies quantities; Rate Cards supplies planning, contracted and actual prices.</x:v>
      </x:c>
      <x:c r="G33" s="470"/>
      <x:c r="H33" s="733" t="str">
        <x:v>https://help.sap.com/docs/SAP_S4HANA_ON-PREMISE/5e23dc8fe9be4fd496f8ab556667ea05/5b894653339b7425e10000000a44176d.html</x:v>
      </x:c>
      <x:c r="I33" s="733"/>
      <x:c r="J33" s="733"/>
      <x:c r="K33" s="733"/>
      <x:c r="L33" s="5"/>
    </x:row>
    <x:row r="34" ht="53" customHeight="1">
      <x:c r="A34" s="5"/>
      <x:c r="B34" s="720" t="str">
        <x:v>SAP — Allocation</x:v>
      </x:c>
      <x:c r="C34" s="720"/>
      <x:c r="D34" s="464" t="str">
        <x:v>Shared expenses should be allocated using documented rules and reviewed for completeness.</x:v>
      </x:c>
      <x:c r="E34" s="464"/>
      <x:c r="F34" s="464" t="str">
        <x:v>Cross-platform costs are separated and can be allocated to services or workspaces without duplicate charging.</x:v>
      </x:c>
      <x:c r="G34" s="464"/>
      <x:c r="H34" s="732" t="str">
        <x:v>https://help.sap.com/docs/SAP_S4HANA_ON-PREMISE/5e23dc8fe9be4fd496f8ab556667ea05/6d10d553088f4308e10000000a174cb4.html</x:v>
      </x:c>
      <x:c r="I34" s="732"/>
      <x:c r="J34" s="732"/>
      <x:c r="K34" s="732"/>
      <x:c r="L34" s="5"/>
    </x:row>
    <x:row r="35" ht="53" customHeight="1">
      <x:c r="A35" s="5"/>
      <x:c r="B35" s="719" t="str">
        <x:v>Salesforce — Usage Management</x:v>
      </x:c>
      <x:c r="C35" s="719"/>
      <x:c r="D35" s="470" t="str">
        <x:v>Usage-based products require measured consumption, rating and billing lifecycle controls.</x:v>
      </x:c>
      <x:c r="E35" s="470"/>
      <x:c r="F35" s="470" t="str">
        <x:v>Driver IDs and rate cards connect transaction, account and service usage to costs.</x:v>
      </x:c>
      <x:c r="G35" s="470"/>
      <x:c r="H35" s="733" t="str">
        <x:v>https://help.salesforce.com/s/articleView?id=ind.um_usage_management.htm&amp;language=en_US&amp;type=5</x:v>
      </x:c>
      <x:c r="I35" s="733"/>
      <x:c r="J35" s="733"/>
      <x:c r="K35" s="733"/>
      <x:c r="L35" s="5"/>
    </x:row>
    <x:row r="36" ht="53" customHeight="1">
      <x:c r="A36" s="5"/>
      <x:c r="B36" s="720" t="str">
        <x:v>Salesforce — Usage Rating</x:v>
      </x:c>
      <x:c r="C36" s="720"/>
      <x:c r="D36" s="464" t="str">
        <x:v>Usage should be aggregated and rated using a defined price per unit.</x:v>
      </x:c>
      <x:c r="E36" s="464"/>
      <x:c r="F36" s="464" t="str">
        <x:v>Each cost row multiplies a measured driver by one active rate basis.</x:v>
      </x:c>
      <x:c r="G36" s="464"/>
      <x:c r="H36" s="732" t="str">
        <x:v>https://help.salesforce.com/s/articleView?id=sales.blng_usage_rating_parent.htm&amp;language=en&amp;type=5</x:v>
      </x:c>
      <x:c r="I36" s="732"/>
      <x:c r="J36" s="732"/>
      <x:c r="K36" s="732"/>
      <x:c r="L36" s="5"/>
    </x:row>
    <x:row r="37" ht="53" customHeight="1">
      <x:c r="A37" s="5"/>
      <x:c r="B37" s="719" t="str">
        <x:v>ServiceNow — Financial Modeling</x:v>
      </x:c>
      <x:c r="C37" s="719"/>
      <x:c r="D37" s="470" t="str">
        <x:v>A cost model should define rules, metrics and allocations across a service hierarchy.</x:v>
      </x:c>
      <x:c r="E37" s="470"/>
      <x:c r="F37" s="470" t="str">
        <x:v>Cost Center rolls costs up by engine, value stream and cost group.</x:v>
      </x:c>
      <x:c r="G37" s="470"/>
      <x:c r="H37" s="733" t="str">
        <x:v>https://www.servicenow.com/docs/r/xanadu/it-business-management/financial-management/cost-transparency-setup.html</x:v>
      </x:c>
      <x:c r="I37" s="733"/>
      <x:c r="J37" s="733"/>
      <x:c r="K37" s="733"/>
      <x:c r="L37" s="5"/>
    </x:row>
    <x:row r="38" ht="53" customHeight="1">
      <x:c r="A38" s="5"/>
      <x:c r="B38" s="720" t="str">
        <x:v>ServiceNow — Rate Models</x:v>
      </x:c>
      <x:c r="C38" s="720"/>
      <x:c r="D38" s="464" t="str">
        <x:v>Date-effective and criteria-driven rates should support planned and actual cost analysis.</x:v>
      </x:c>
      <x:c r="E38" s="464"/>
      <x:c r="F38" s="464" t="str">
        <x:v>Rate Cards separates Planning, Contracted and Actual rates and uses one basis at a time.</x:v>
      </x:c>
      <x:c r="G38" s="464"/>
      <x:c r="H38" s="732" t="str">
        <x:v>https://www.servicenow.com/docs/r/it-business-management/rate-model/rate-model.html</x:v>
      </x:c>
      <x:c r="I38" s="732"/>
      <x:c r="J38" s="732"/>
      <x:c r="K38" s="732"/>
      <x:c r="L38" s="5"/>
    </x:row>
    <x:row r="39" ht="53" customHeight="1">
      <x:c r="A39" s="5"/>
      <x:c r="B39" s="719" t="str">
        <x:v>ServiceNow — CSM Financial Integration</x:v>
      </x:c>
      <x:c r="C39" s="719"/>
      <x:c r="D39" s="470" t="str">
        <x:v>Customer-service expenses can be allocated to accounts and channels through cost models.</x:v>
      </x:c>
      <x:c r="E39" s="470"/>
      <x:c r="F39" s="470" t="str">
        <x:v>Membership, PayFac, issuing and shared-service costs remain separately owned and measurable.</x:v>
      </x:c>
      <x:c r="G39" s="470"/>
      <x:c r="H39" s="733" t="str">
        <x:v>https://www.servicenow.com/docs/r/zurich/customer-service-management/csm-integration-financial-mgmt.html</x:v>
      </x:c>
      <x:c r="I39" s="733"/>
      <x:c r="J39" s="733"/>
      <x:c r="K39" s="733"/>
      <x:c r="L39" s="5"/>
    </x:row>
    <x:row r="40" ht="53" customHeight="1">
      <x:c r="A40" s="5"/>
      <x:c r="B40" s="720" t="str">
        <x:v>Stripe — Network Cost Passthrough</x:v>
      </x:c>
      <x:c r="C40" s="720"/>
      <x:c r="D40" s="464" t="str">
        <x:v>Network cost passthrough is distinct from a platform's own fees.</x:v>
      </x:c>
      <x:c r="E40" s="464"/>
      <x:c r="F40" s="464" t="str">
        <x:v>Card-brand costs remain separate from provider and operating costs.</x:v>
      </x:c>
      <x:c r="G40" s="464"/>
      <x:c r="H40" s="732" t="str">
        <x:v>https://docs.stripe.com/connect/network-cost-passthrough-platforms</x:v>
      </x:c>
      <x:c r="I40" s="732"/>
      <x:c r="J40" s="732"/>
      <x:c r="K40" s="732"/>
      <x:c r="L40" s="5"/>
    </x:row>
    <x:row r="41" ht="53" customHeight="1">
      <x:c r="A41" s="5"/>
      <x:c r="B41" s="719" t="str">
        <x:v>Stripe — Margin Reports</x:v>
      </x:c>
      <x:c r="C41" s="719"/>
      <x:c r="D41" s="470" t="str">
        <x:v>Platforms should compare payment volume, revenue and underlying fees to measure margin.</x:v>
      </x:c>
      <x:c r="E41" s="470"/>
      <x:c r="F41" s="470" t="str">
        <x:v>Cost Center and Economics show customer pricing, external cost and retained contribution.</x:v>
      </x:c>
      <x:c r="G41" s="470"/>
      <x:c r="H41" s="733" t="str">
        <x:v>https://docs.stripe.com/connect/margin-reports</x:v>
      </x:c>
      <x:c r="I41" s="733"/>
      <x:c r="J41" s="733"/>
      <x:c r="K41" s="733"/>
      <x:c r="L41" s="5"/>
    </x:row>
    <x:row r="42" ht="53" customHeight="1">
      <x:c r="A42" s="5"/>
      <x:c r="B42" s="720" t="str">
        <x:v>Stripe — Issuing Card Costs</x:v>
      </x:c>
      <x:c r="C42" s="720"/>
      <x:c r="D42" s="464" t="str">
        <x:v>Physical and virtual credential production can create separate unit costs.</x:v>
      </x:c>
      <x:c r="E42" s="464"/>
      <x:c r="F42" s="464" t="str">
        <x:v>Rate Cards prebuilds physical, virtual, replacement and shipping costs.</x:v>
      </x:c>
      <x:c r="G42" s="464"/>
      <x:c r="H42" s="732" t="str">
        <x:v>https://docs.stripe.com/issuing/choose-cards</x:v>
      </x:c>
      <x:c r="I42" s="732"/>
      <x:c r="J42" s="732"/>
      <x:c r="K42" s="732"/>
      <x:c r="L42" s="5"/>
    </x:row>
    <x:row r="43" ht="53" customHeight="1">
      <x:c r="A43" s="5"/>
      <x:c r="B43" s="719" t="str">
        <x:v>Finix — Platform Pricing</x:v>
      </x:c>
      <x:c r="C43" s="719"/>
      <x:c r="D43" s="470" t="str">
        <x:v>PayFac economics can include volume, event, active-account and payout charges.</x:v>
      </x:c>
      <x:c r="E43" s="470"/>
      <x:c r="F43" s="470" t="str">
        <x:v>Rate Cards prebuilds percentage, authorization, account and payout drivers.</x:v>
      </x:c>
      <x:c r="G43" s="470"/>
      <x:c r="H43" s="733" t="str">
        <x:v>https://finix.com/pricing/platforms</x:v>
      </x:c>
      <x:c r="I43" s="733"/>
      <x:c r="J43" s="733"/>
      <x:c r="K43" s="733"/>
      <x:c r="L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</x:row>
  </x:sheetData>
  <x:mergeCells>
    <x:mergeCell ref="B2:K2"/>
    <x:mergeCell ref="B3:K3"/>
    <x:mergeCell ref="B5:K5"/>
    <x:mergeCell ref="B8:C8"/>
    <x:mergeCell ref="D8:E8"/>
    <x:mergeCell ref="F8:G8"/>
    <x:mergeCell ref="H8:K8"/>
    <x:mergeCell ref="B9:C9"/>
    <x:mergeCell ref="D9:E9"/>
    <x:mergeCell ref="F9:G9"/>
    <x:mergeCell ref="H9:K9"/>
    <x:mergeCell ref="B10:C10"/>
    <x:mergeCell ref="D10:E10"/>
    <x:mergeCell ref="F10:G10"/>
    <x:mergeCell ref="H10:K10"/>
    <x:mergeCell ref="B11:C11"/>
    <x:mergeCell ref="D11:E11"/>
    <x:mergeCell ref="F11:G11"/>
    <x:mergeCell ref="H11:K11"/>
    <x:mergeCell ref="B12:C12"/>
    <x:mergeCell ref="D12:E12"/>
    <x:mergeCell ref="F12:G12"/>
    <x:mergeCell ref="H12:K12"/>
    <x:mergeCell ref="B13:C13"/>
    <x:mergeCell ref="D13:E13"/>
    <x:mergeCell ref="F13:G13"/>
    <x:mergeCell ref="H13:K13"/>
    <x:mergeCell ref="B14:C14"/>
    <x:mergeCell ref="D14:E14"/>
    <x:mergeCell ref="F14:G14"/>
    <x:mergeCell ref="H14:K14"/>
    <x:mergeCell ref="B15:C15"/>
    <x:mergeCell ref="D15:E15"/>
    <x:mergeCell ref="F15:G15"/>
    <x:mergeCell ref="H15:K15"/>
    <x:mergeCell ref="B16:C16"/>
    <x:mergeCell ref="D16:E16"/>
    <x:mergeCell ref="F16:G16"/>
    <x:mergeCell ref="H16:K16"/>
    <x:mergeCell ref="B17:C17"/>
    <x:mergeCell ref="D17:E17"/>
    <x:mergeCell ref="F17:G17"/>
    <x:mergeCell ref="H17:K17"/>
    <x:mergeCell ref="B18:C18"/>
    <x:mergeCell ref="D18:E18"/>
    <x:mergeCell ref="F18:G18"/>
    <x:mergeCell ref="H18:K18"/>
    <x:mergeCell ref="B19:C19"/>
    <x:mergeCell ref="D19:E19"/>
    <x:mergeCell ref="F19:G19"/>
    <x:mergeCell ref="H19:K19"/>
    <x:mergeCell ref="B23:K23"/>
    <x:mergeCell ref="B24:D24"/>
    <x:mergeCell ref="E24:K24"/>
    <x:mergeCell ref="B25:D25"/>
    <x:mergeCell ref="E25:K25"/>
    <x:mergeCell ref="B26:D26"/>
    <x:mergeCell ref="E26:K26"/>
    <x:mergeCell ref="B30:K30"/>
    <x:mergeCell ref="B32:C32"/>
    <x:mergeCell ref="D32:E32"/>
    <x:mergeCell ref="F32:G32"/>
    <x:mergeCell ref="H32:K32"/>
    <x:mergeCell ref="B33:C33"/>
    <x:mergeCell ref="D33:E33"/>
    <x:mergeCell ref="F33:G33"/>
    <x:mergeCell ref="H33:K33"/>
    <x:mergeCell ref="B34:C34"/>
    <x:mergeCell ref="D34:E34"/>
    <x:mergeCell ref="F34:G34"/>
    <x:mergeCell ref="H34:K34"/>
    <x:mergeCell ref="B35:C35"/>
    <x:mergeCell ref="D35:E35"/>
    <x:mergeCell ref="F35:G35"/>
    <x:mergeCell ref="H35:K35"/>
    <x:mergeCell ref="B36:C36"/>
    <x:mergeCell ref="D36:E36"/>
    <x:mergeCell ref="F36:G36"/>
    <x:mergeCell ref="H36:K36"/>
    <x:mergeCell ref="B37:C37"/>
    <x:mergeCell ref="D37:E37"/>
    <x:mergeCell ref="F37:G37"/>
    <x:mergeCell ref="H37:K37"/>
    <x:mergeCell ref="B38:C38"/>
    <x:mergeCell ref="D38:E38"/>
    <x:mergeCell ref="F38:G38"/>
    <x:mergeCell ref="H38:K38"/>
    <x:mergeCell ref="B39:C39"/>
    <x:mergeCell ref="D39:E39"/>
    <x:mergeCell ref="F39:G39"/>
    <x:mergeCell ref="H39:K39"/>
    <x:mergeCell ref="B40:C40"/>
    <x:mergeCell ref="D40:E40"/>
    <x:mergeCell ref="F40:G40"/>
    <x:mergeCell ref="H40:K40"/>
    <x:mergeCell ref="B41:C41"/>
    <x:mergeCell ref="D41:E41"/>
    <x:mergeCell ref="F41:G41"/>
    <x:mergeCell ref="H41:K41"/>
    <x:mergeCell ref="B42:C42"/>
    <x:mergeCell ref="D42:E42"/>
    <x:mergeCell ref="F42:G42"/>
    <x:mergeCell ref="H42:K42"/>
    <x:mergeCell ref="B43:C43"/>
    <x:mergeCell ref="D43:E43"/>
    <x:mergeCell ref="F43:G43"/>
    <x:mergeCell ref="H43:K4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4" hidden="0" customWidth="1"/>
    <x:col min="3" max="3" width="34" hidden="0" customWidth="1"/>
    <x:col min="4" max="4" width="16" hidden="0" customWidth="1"/>
    <x:col min="5" max="5" width="18" hidden="0" customWidth="1"/>
    <x:col min="6" max="6" width="18" hidden="0" customWidth="1"/>
    <x:col min="7" max="7" width="30" hidden="0" customWidth="1"/>
    <x:col min="8" max="8" width="14" hidden="0" customWidth="1"/>
    <x:col min="9" max="9" width="20" hidden="0" customWidth="1"/>
    <x:col min="10" max="10" width="25" hidden="0" customWidth="1"/>
    <x:col min="11" max="11" width="2.200000047683716" hidden="0" customWidth="1"/>
  </x:cols>
  <x:sheetData>
    <x:row r="1">
      <x:c r="A1" s="448"/>
      <x:c r="B1" s="448"/>
      <x:c r="C1" s="448"/>
      <x:c r="D1" s="448"/>
      <x:c r="E1" s="448"/>
      <x:c r="F1" s="448"/>
      <x:c r="G1" s="448"/>
      <x:c r="H1" s="448"/>
      <x:c r="I1" s="448"/>
      <x:c r="J1" s="448"/>
      <x:c r="K1" s="448"/>
    </x:row>
    <x:row r="2" ht="32" customHeight="1">
      <x:c r="A2" s="448"/>
      <x:c r="B2" s="451" t="str">
        <x:v>Cost Drivers</x:v>
      </x:c>
      <x:c r="C2" s="451"/>
      <x:c r="D2" s="451"/>
      <x:c r="E2" s="451"/>
      <x:c r="F2" s="451"/>
      <x:c r="G2" s="451"/>
      <x:c r="H2" s="451"/>
      <x:c r="I2" s="451"/>
      <x:c r="J2" s="451"/>
      <x:c r="K2" s="448"/>
    </x:row>
    <x:row r="3" ht="24" customHeight="1">
      <x:c r="A3" s="448"/>
      <x:c r="B3" s="454" t="str">
        <x:v>Activity volumes that turn rate cards into annual costs.</x:v>
      </x:c>
      <x:c r="C3" s="454"/>
      <x:c r="D3" s="454"/>
      <x:c r="E3" s="454"/>
      <x:c r="F3" s="454"/>
      <x:c r="G3" s="454"/>
      <x:c r="H3" s="454"/>
      <x:c r="I3" s="454"/>
      <x:c r="J3" s="454"/>
      <x:c r="K3" s="448"/>
    </x:row>
    <x:row r="4">
      <x:c r="A4" s="448"/>
      <x:c r="B4" s="448"/>
      <x:c r="C4" s="448"/>
      <x:c r="D4" s="448"/>
      <x:c r="E4" s="448"/>
      <x:c r="F4" s="448"/>
      <x:c r="G4" s="448"/>
      <x:c r="H4" s="448"/>
      <x:c r="I4" s="448"/>
      <x:c r="J4" s="448"/>
      <x:c r="K4" s="448"/>
    </x:row>
    <x:row r="5" ht="31" customHeight="1">
      <x:c r="A5" s="448"/>
      <x:c r="B5" s="456" t="str">
        <x:v>BLUE cells are management assumptions. GREEN values are calculated from the Command Center scenario. Driver values are shown separately for Select and Premier.</x:v>
      </x:c>
      <x:c r="C5" s="456"/>
      <x:c r="D5" s="456"/>
      <x:c r="E5" s="456"/>
      <x:c r="F5" s="456"/>
      <x:c r="G5" s="456"/>
      <x:c r="H5" s="456"/>
      <x:c r="I5" s="456"/>
      <x:c r="J5" s="456"/>
      <x:c r="K5" s="448"/>
    </x:row>
    <x:row r="6">
      <x:c r="A6" s="448"/>
      <x:c r="B6" s="448"/>
      <x:c r="C6" s="448"/>
      <x:c r="D6" s="448"/>
      <x:c r="E6" s="448"/>
      <x:c r="F6" s="448"/>
      <x:c r="G6" s="448"/>
      <x:c r="H6" s="448"/>
      <x:c r="I6" s="448"/>
      <x:c r="J6" s="448"/>
      <x:c r="K6" s="448"/>
    </x:row>
    <x:row r="7" ht="24" customHeight="1">
      <x:c r="A7" s="448"/>
      <x:c r="B7" s="459" t="str">
        <x:v>1. Operating assumptions</x:v>
      </x:c>
      <x:c r="C7" s="459"/>
      <x:c r="D7" s="459"/>
      <x:c r="E7" s="459"/>
      <x:c r="F7" s="459"/>
      <x:c r="G7" s="459"/>
      <x:c r="H7" s="459"/>
      <x:c r="I7" s="459"/>
      <x:c r="J7" s="459"/>
      <x:c r="K7" s="448"/>
    </x:row>
    <x:row r="8">
      <x:c r="A8" s="448"/>
      <x:c r="B8" s="463" t="str">
        <x:v>ASSUMPTION</x:v>
      </x:c>
      <x:c r="C8" s="463"/>
      <x:c r="D8" s="463" t="str">
        <x:v>UNIT</x:v>
      </x:c>
      <x:c r="E8" s="463" t="str">
        <x:v>SELECT</x:v>
      </x:c>
      <x:c r="F8" s="463" t="str">
        <x:v>PREMIER</x:v>
      </x:c>
      <x:c r="G8" s="463" t="str">
        <x:v>STATUS / SOURCE</x:v>
      </x:c>
      <x:c r="H8" s="463"/>
      <x:c r="I8" s="463"/>
      <x:c r="J8" s="463"/>
      <x:c r="K8" s="448"/>
    </x:row>
    <x:row r="9" ht="28" customHeight="1">
      <x:c r="A9" s="448"/>
      <x:c r="B9" s="465" t="str">
        <x:v>Household participants</x:v>
      </x:c>
      <x:c r="C9" s="465"/>
      <x:c r="D9" s="465" t="str">
        <x:v>people</x:v>
      </x:c>
      <x:c r="E9" s="468" t="n">
        <x:v>2</x:v>
      </x:c>
      <x:c r="F9" s="468" t="n">
        <x:v>2</x:v>
      </x:c>
      <x:c r="G9" s="465" t="str">
        <x:v>Planning assumption</x:v>
      </x:c>
      <x:c r="H9" s="465"/>
      <x:c r="I9" s="465"/>
      <x:c r="J9" s="465"/>
      <x:c r="K9" s="448"/>
    </x:row>
    <x:row r="10" ht="28" customHeight="1">
      <x:c r="A10" s="448"/>
      <x:c r="B10" s="471" t="str">
        <x:v>Seller profiles</x:v>
      </x:c>
      <x:c r="C10" s="471"/>
      <x:c r="D10" s="471" t="str">
        <x:v>profiles</x:v>
      </x:c>
      <x:c r="E10" s="468" t="n">
        <x:v>1</x:v>
      </x:c>
      <x:c r="F10" s="468" t="n">
        <x:v>1</x:v>
      </x:c>
      <x:c r="G10" s="471" t="str">
        <x:v>Planning assumption; set 0 if no selling</x:v>
      </x:c>
      <x:c r="H10" s="471"/>
      <x:c r="I10" s="471"/>
      <x:c r="J10" s="471"/>
      <x:c r="K10" s="448"/>
    </x:row>
    <x:row r="11" ht="28" customHeight="1">
      <x:c r="A11" s="448"/>
      <x:c r="B11" s="465" t="str">
        <x:v>Payment success rate</x:v>
      </x:c>
      <x:c r="C11" s="465"/>
      <x:c r="D11" s="465" t="str">
        <x:v>% of attempts</x:v>
      </x:c>
      <x:c r="E11" s="472" t="n">
        <x:v>0.95</x:v>
      </x:c>
      <x:c r="F11" s="472" t="n">
        <x:v>0.95</x:v>
      </x:c>
      <x:c r="G11" s="465" t="str">
        <x:v>Planning assumption</x:v>
      </x:c>
      <x:c r="H11" s="465"/>
      <x:c r="I11" s="465"/>
      <x:c r="J11" s="465"/>
      <x:c r="K11" s="448"/>
    </x:row>
    <x:row r="12" ht="28" customHeight="1">
      <x:c r="A12" s="448"/>
      <x:c r="B12" s="471" t="str">
        <x:v>Refund rate</x:v>
      </x:c>
      <x:c r="C12" s="471"/>
      <x:c r="D12" s="471" t="str">
        <x:v>% of customer payments</x:v>
      </x:c>
      <x:c r="E12" s="472" t="n">
        <x:v>0.01</x:v>
      </x:c>
      <x:c r="F12" s="472" t="n">
        <x:v>0.01</x:v>
      </x:c>
      <x:c r="G12" s="471" t="str">
        <x:v>Planning assumption</x:v>
      </x:c>
      <x:c r="H12" s="471"/>
      <x:c r="I12" s="471"/>
      <x:c r="J12" s="471"/>
      <x:c r="K12" s="448"/>
    </x:row>
    <x:row r="13" ht="28" customHeight="1">
      <x:c r="A13" s="448"/>
      <x:c r="B13" s="465" t="str">
        <x:v>PayFac dispute rate</x:v>
      </x:c>
      <x:c r="C13" s="465"/>
      <x:c r="D13" s="465" t="str">
        <x:v>% of customer payments</x:v>
      </x:c>
      <x:c r="E13" s="472" t="n">
        <x:v>0.002</x:v>
      </x:c>
      <x:c r="F13" s="472" t="n">
        <x:v>0.002</x:v>
      </x:c>
      <x:c r="G13" s="465" t="str">
        <x:v>Planning assumption</x:v>
      </x:c>
      <x:c r="H13" s="465"/>
      <x:c r="I13" s="465"/>
      <x:c r="J13" s="465"/>
      <x:c r="K13" s="448"/>
    </x:row>
    <x:row r="14" ht="28" customHeight="1">
      <x:c r="A14" s="448"/>
      <x:c r="B14" s="471" t="str">
        <x:v>Payouts per active seller per month</x:v>
      </x:c>
      <x:c r="C14" s="471"/>
      <x:c r="D14" s="471" t="str">
        <x:v>payouts</x:v>
      </x:c>
      <x:c r="E14" s="468" t="n">
        <x:v>1</x:v>
      </x:c>
      <x:c r="F14" s="468" t="n">
        <x:v>1</x:v>
      </x:c>
      <x:c r="G14" s="471" t="str">
        <x:v>Planning assumption</x:v>
      </x:c>
      <x:c r="H14" s="471"/>
      <x:c r="I14" s="471"/>
      <x:c r="J14" s="471"/>
      <x:c r="K14" s="448"/>
    </x:row>
    <x:row r="15" ht="28" customHeight="1">
      <x:c r="A15" s="448"/>
      <x:c r="B15" s="465" t="str">
        <x:v>Average purchase size</x:v>
      </x:c>
      <x:c r="C15" s="465"/>
      <x:c r="D15" s="465" t="str">
        <x:v>USD</x:v>
      </x:c>
      <x:c r="E15" s="473" t="n">
        <x:v>100</x:v>
      </x:c>
      <x:c r="F15" s="473" t="n">
        <x:v>100</x:v>
      </x:c>
      <x:c r="G15" s="465" t="str">
        <x:v>Planning assumption</x:v>
      </x:c>
      <x:c r="H15" s="465"/>
      <x:c r="I15" s="465"/>
      <x:c r="J15" s="465"/>
      <x:c r="K15" s="448"/>
    </x:row>
    <x:row r="16" ht="28" customHeight="1">
      <x:c r="A16" s="448"/>
      <x:c r="B16" s="471" t="str">
        <x:v>Purchase approval rate</x:v>
      </x:c>
      <x:c r="C16" s="471"/>
      <x:c r="D16" s="471" t="str">
        <x:v>% of attempts</x:v>
      </x:c>
      <x:c r="E16" s="472" t="n">
        <x:v>0.95</x:v>
      </x:c>
      <x:c r="F16" s="472" t="n">
        <x:v>0.95</x:v>
      </x:c>
      <x:c r="G16" s="471" t="str">
        <x:v>Planning assumption</x:v>
      </x:c>
      <x:c r="H16" s="471"/>
      <x:c r="I16" s="471"/>
      <x:c r="J16" s="471"/>
      <x:c r="K16" s="448"/>
    </x:row>
    <x:row r="17" ht="28" customHeight="1">
      <x:c r="A17" s="448"/>
      <x:c r="B17" s="465" t="str">
        <x:v>Issuing dispute rate</x:v>
      </x:c>
      <x:c r="C17" s="465"/>
      <x:c r="D17" s="465" t="str">
        <x:v>% of purchases</x:v>
      </x:c>
      <x:c r="E17" s="472" t="n">
        <x:v>0.002</x:v>
      </x:c>
      <x:c r="F17" s="472" t="n">
        <x:v>0.002</x:v>
      </x:c>
      <x:c r="G17" s="465" t="str">
        <x:v>Planning assumption</x:v>
      </x:c>
      <x:c r="H17" s="465"/>
      <x:c r="I17" s="465"/>
      <x:c r="J17" s="465"/>
      <x:c r="K17" s="448"/>
    </x:row>
    <x:row r="18" ht="28" customHeight="1">
      <x:c r="A18" s="448"/>
      <x:c r="B18" s="471" t="str">
        <x:v>Support contacts per member</x:v>
      </x:c>
      <x:c r="C18" s="471"/>
      <x:c r="D18" s="471" t="str">
        <x:v>contacts / year</x:v>
      </x:c>
      <x:c r="E18" s="472" t="n">
        <x:v>2</x:v>
      </x:c>
      <x:c r="F18" s="472" t="n">
        <x:v>2.5</x:v>
      </x:c>
      <x:c r="G18" s="471" t="str">
        <x:v>Premier includes priority support</x:v>
      </x:c>
      <x:c r="H18" s="471"/>
      <x:c r="I18" s="471"/>
      <x:c r="J18" s="471"/>
      <x:c r="K18" s="448"/>
    </x:row>
    <x:row r="19" ht="28" customHeight="1">
      <x:c r="A19" s="448"/>
      <x:c r="B19" s="465" t="str">
        <x:v>Minutes per support contact</x:v>
      </x:c>
      <x:c r="C19" s="465"/>
      <x:c r="D19" s="465" t="str">
        <x:v>minutes</x:v>
      </x:c>
      <x:c r="E19" s="472" t="n">
        <x:v>20</x:v>
      </x:c>
      <x:c r="F19" s="472" t="n">
        <x:v>20</x:v>
      </x:c>
      <x:c r="G19" s="465" t="str">
        <x:v>Planning assumption</x:v>
      </x:c>
      <x:c r="H19" s="465"/>
      <x:c r="I19" s="465"/>
      <x:c r="J19" s="465"/>
      <x:c r="K19" s="448"/>
    </x:row>
    <x:row r="20" ht="28" customHeight="1">
      <x:c r="A20" s="448"/>
      <x:c r="B20" s="471" t="str">
        <x:v>PayFac review hours per seller</x:v>
      </x:c>
      <x:c r="C20" s="471"/>
      <x:c r="D20" s="471" t="str">
        <x:v>hours</x:v>
      </x:c>
      <x:c r="E20" s="472" t="n">
        <x:v>1</x:v>
      </x:c>
      <x:c r="F20" s="472" t="n">
        <x:v>1</x:v>
      </x:c>
      <x:c r="G20" s="471" t="str">
        <x:v>Planning assumption</x:v>
      </x:c>
      <x:c r="H20" s="471"/>
      <x:c r="I20" s="471"/>
      <x:c r="J20" s="471"/>
      <x:c r="K20" s="448"/>
    </x:row>
    <x:row r="21" ht="28" customHeight="1">
      <x:c r="A21" s="448"/>
      <x:c r="B21" s="465" t="str">
        <x:v>Refund handling hours per refund</x:v>
      </x:c>
      <x:c r="C21" s="465"/>
      <x:c r="D21" s="465" t="str">
        <x:v>hours</x:v>
      </x:c>
      <x:c r="E21" s="472" t="n">
        <x:v>0.1</x:v>
      </x:c>
      <x:c r="F21" s="472" t="n">
        <x:v>0.1</x:v>
      </x:c>
      <x:c r="G21" s="465" t="str">
        <x:v>Planning assumption</x:v>
      </x:c>
      <x:c r="H21" s="465"/>
      <x:c r="I21" s="465"/>
      <x:c r="J21" s="465"/>
      <x:c r="K21" s="448"/>
    </x:row>
    <x:row r="22" ht="28" customHeight="1">
      <x:c r="A22" s="448"/>
      <x:c r="B22" s="471" t="str">
        <x:v>PayFac dispute hours per dispute</x:v>
      </x:c>
      <x:c r="C22" s="471"/>
      <x:c r="D22" s="471" t="str">
        <x:v>hours</x:v>
      </x:c>
      <x:c r="E22" s="472" t="n">
        <x:v>0.5</x:v>
      </x:c>
      <x:c r="F22" s="472" t="n">
        <x:v>0.5</x:v>
      </x:c>
      <x:c r="G22" s="471" t="str">
        <x:v>Planning assumption</x:v>
      </x:c>
      <x:c r="H22" s="471"/>
      <x:c r="I22" s="471"/>
      <x:c r="J22" s="471"/>
      <x:c r="K22" s="448"/>
    </x:row>
    <x:row r="23" ht="28" customHeight="1">
      <x:c r="A23" s="448"/>
      <x:c r="B23" s="465" t="str">
        <x:v>Issuing dispute hours per dispute</x:v>
      </x:c>
      <x:c r="C23" s="465"/>
      <x:c r="D23" s="465" t="str">
        <x:v>hours</x:v>
      </x:c>
      <x:c r="E23" s="468" t="n">
        <x:v>0.5</x:v>
      </x:c>
      <x:c r="F23" s="468" t="n">
        <x:v>0.5</x:v>
      </x:c>
      <x:c r="G23" s="465" t="str">
        <x:v>Planning assumption</x:v>
      </x:c>
      <x:c r="H23" s="465"/>
      <x:c r="I23" s="465"/>
      <x:c r="J23" s="465"/>
      <x:c r="K23" s="448"/>
    </x:row>
    <x:row r="24" ht="28" customHeight="1">
      <x:c r="A24" s="448"/>
      <x:c r="B24" s="471" t="str">
        <x:v>Compliance hours per relationship</x:v>
      </x:c>
      <x:c r="C24" s="471"/>
      <x:c r="D24" s="471" t="str">
        <x:v>hours</x:v>
      </x:c>
      <x:c r="E24" s="468" t="n">
        <x:v>1</x:v>
      </x:c>
      <x:c r="F24" s="468" t="n">
        <x:v>1</x:v>
      </x:c>
      <x:c r="G24" s="471" t="str">
        <x:v>Planning assumption</x:v>
      </x:c>
      <x:c r="H24" s="471"/>
      <x:c r="I24" s="471"/>
      <x:c r="J24" s="471"/>
      <x:c r="K24" s="448"/>
    </x:row>
    <x:row r="25" ht="28" customHeight="1">
      <x:c r="A25" s="448"/>
      <x:c r="B25" s="465" t="str">
        <x:v>Finance / reconciliation hours</x:v>
      </x:c>
      <x:c r="C25" s="465"/>
      <x:c r="D25" s="465" t="str">
        <x:v>hours</x:v>
      </x:c>
      <x:c r="E25" s="468" t="n">
        <x:v>1</x:v>
      </x:c>
      <x:c r="F25" s="468" t="n">
        <x:v>1</x:v>
      </x:c>
      <x:c r="G25" s="465" t="str">
        <x:v>Planning assumption</x:v>
      </x:c>
      <x:c r="H25" s="465"/>
      <x:c r="I25" s="465"/>
      <x:c r="J25" s="465"/>
      <x:c r="K25" s="448"/>
    </x:row>
    <x:row r="26" ht="28" customHeight="1">
      <x:c r="A26" s="448"/>
      <x:c r="B26" s="471" t="str">
        <x:v>Average issuing funding days</x:v>
      </x:c>
      <x:c r="C26" s="471"/>
      <x:c r="D26" s="471" t="str">
        <x:v>days</x:v>
      </x:c>
      <x:c r="E26" s="473" t="n">
        <x:v>3</x:v>
      </x:c>
      <x:c r="F26" s="473" t="n">
        <x:v>3</x:v>
      </x:c>
      <x:c r="G26" s="471" t="str">
        <x:v>Planning assumption</x:v>
      </x:c>
      <x:c r="H26" s="471"/>
      <x:c r="I26" s="471"/>
      <x:c r="J26" s="471"/>
      <x:c r="K26" s="448"/>
    </x:row>
    <x:row r="27" ht="28" customHeight="1">
      <x:c r="A27" s="448"/>
      <x:c r="B27" s="465" t="str">
        <x:v>Physical payment credentials</x:v>
      </x:c>
      <x:c r="C27" s="465"/>
      <x:c r="D27" s="465" t="str">
        <x:v>credentials</x:v>
      </x:c>
      <x:c r="E27" s="468" t="n">
        <x:v>2</x:v>
      </x:c>
      <x:c r="F27" s="468" t="n">
        <x:v>2</x:v>
      </x:c>
      <x:c r="G27" s="465" t="str">
        <x:v>Planning assumption</x:v>
      </x:c>
      <x:c r="H27" s="465"/>
      <x:c r="I27" s="465"/>
      <x:c r="J27" s="465"/>
      <x:c r="K27" s="448"/>
    </x:row>
    <x:row r="28" ht="28" customHeight="1">
      <x:c r="A28" s="448"/>
      <x:c r="B28" s="471" t="str">
        <x:v>Virtual payment credentials</x:v>
      </x:c>
      <x:c r="C28" s="471"/>
      <x:c r="D28" s="471" t="str">
        <x:v>credentials</x:v>
      </x:c>
      <x:c r="E28" s="468" t="n">
        <x:v>5</x:v>
      </x:c>
      <x:c r="F28" s="468" t="n">
        <x:v>5</x:v>
      </x:c>
      <x:c r="G28" s="471" t="str">
        <x:v>Planning assumption</x:v>
      </x:c>
      <x:c r="H28" s="471"/>
      <x:c r="I28" s="471"/>
      <x:c r="J28" s="471"/>
      <x:c r="K28" s="448"/>
    </x:row>
    <x:row r="29" ht="28" customHeight="1">
      <x:c r="A29" s="448"/>
      <x:c r="B29" s="465" t="str">
        <x:v>Digital-wallet tokens</x:v>
      </x:c>
      <x:c r="C29" s="465"/>
      <x:c r="D29" s="465" t="str">
        <x:v>tokens</x:v>
      </x:c>
      <x:c r="E29" s="468" t="n">
        <x:v>2</x:v>
      </x:c>
      <x:c r="F29" s="468" t="n">
        <x:v>2</x:v>
      </x:c>
      <x:c r="G29" s="465" t="str">
        <x:v>Planning assumption</x:v>
      </x:c>
      <x:c r="H29" s="465"/>
      <x:c r="I29" s="465"/>
      <x:c r="J29" s="465"/>
      <x:c r="K29" s="448"/>
    </x:row>
    <x:row r="30" ht="28" customHeight="1">
      <x:c r="A30" s="448"/>
      <x:c r="B30" s="471" t="str">
        <x:v>Annual physical replacement rate</x:v>
      </x:c>
      <x:c r="C30" s="471"/>
      <x:c r="D30" s="471" t="str">
        <x:v>% of physical credentials</x:v>
      </x:c>
      <x:c r="E30" s="472" t="n">
        <x:v>0.05</x:v>
      </x:c>
      <x:c r="F30" s="472" t="n">
        <x:v>0.05</x:v>
      </x:c>
      <x:c r="G30" s="471" t="str">
        <x:v>Planning assumption</x:v>
      </x:c>
      <x:c r="H30" s="471"/>
      <x:c r="I30" s="471"/>
      <x:c r="J30" s="471"/>
      <x:c r="K30" s="448"/>
    </x:row>
    <x:row r="31" ht="28" customHeight="1">
      <x:c r="A31" s="448"/>
      <x:c r="B31" s="465" t="str">
        <x:v>Complaint events</x:v>
      </x:c>
      <x:c r="C31" s="465"/>
      <x:c r="D31" s="465" t="str">
        <x:v>cases / year</x:v>
      </x:c>
      <x:c r="E31" s="468" t="n">
        <x:v>0.1</x:v>
      </x:c>
      <x:c r="F31" s="468" t="n">
        <x:v>0.1</x:v>
      </x:c>
      <x:c r="G31" s="465" t="str">
        <x:v>Planning assumption</x:v>
      </x:c>
      <x:c r="H31" s="465"/>
      <x:c r="I31" s="465"/>
      <x:c r="J31" s="465"/>
      <x:c r="K31" s="448"/>
    </x:row>
    <x:row r="32" ht="28" customHeight="1">
      <x:c r="A32" s="448"/>
      <x:c r="B32" s="471" t="str">
        <x:v>Hardware units</x:v>
      </x:c>
      <x:c r="C32" s="471"/>
      <x:c r="D32" s="471" t="str">
        <x:v>units</x:v>
      </x:c>
      <x:c r="E32" s="468" t="n">
        <x:v>0</x:v>
      </x:c>
      <x:c r="F32" s="468" t="n">
        <x:v>0</x:v>
      </x:c>
      <x:c r="G32" s="471" t="str">
        <x:v>Optional; disabled cost rows by default</x:v>
      </x:c>
      <x:c r="H32" s="471"/>
      <x:c r="I32" s="471"/>
      <x:c r="J32" s="471"/>
      <x:c r="K32" s="448"/>
    </x:row>
    <x:row r="33" ht="28" customHeight="1">
      <x:c r="A33" s="448"/>
      <x:c r="B33" s="465" t="str">
        <x:v>ACH sales volume</x:v>
      </x:c>
      <x:c r="C33" s="465"/>
      <x:c r="D33" s="465" t="str">
        <x:v>USD / year</x:v>
      </x:c>
      <x:c r="E33" s="468" t="n">
        <x:v>0</x:v>
      </x:c>
      <x:c r="F33" s="468" t="n">
        <x:v>0</x:v>
      </x:c>
      <x:c r="G33" s="465" t="str">
        <x:v>Optional</x:v>
      </x:c>
      <x:c r="H33" s="465"/>
      <x:c r="I33" s="465"/>
      <x:c r="J33" s="465"/>
      <x:c r="K33" s="448"/>
    </x:row>
    <x:row r="34" ht="28" customHeight="1">
      <x:c r="A34" s="448"/>
      <x:c r="B34" s="471" t="str">
        <x:v>ACH transactions</x:v>
      </x:c>
      <x:c r="C34" s="471"/>
      <x:c r="D34" s="471" t="str">
        <x:v>transactions / year</x:v>
      </x:c>
      <x:c r="E34" s="468" t="n">
        <x:v>0</x:v>
      </x:c>
      <x:c r="F34" s="468" t="n">
        <x:v>0</x:v>
      </x:c>
      <x:c r="G34" s="471" t="str">
        <x:v>Optional</x:v>
      </x:c>
      <x:c r="H34" s="471"/>
      <x:c r="I34" s="471"/>
      <x:c r="J34" s="471"/>
      <x:c r="K34" s="448"/>
    </x:row>
    <x:row r="35" ht="28" customHeight="1">
      <x:c r="A35" s="448"/>
      <x:c r="B35" s="465" t="str">
        <x:v>Instant payout volume</x:v>
      </x:c>
      <x:c r="C35" s="465"/>
      <x:c r="D35" s="465" t="str">
        <x:v>USD / year</x:v>
      </x:c>
      <x:c r="E35" s="468" t="n">
        <x:v>0</x:v>
      </x:c>
      <x:c r="F35" s="468" t="n">
        <x:v>0</x:v>
      </x:c>
      <x:c r="G35" s="465" t="str">
        <x:v>Optional</x:v>
      </x:c>
      <x:c r="H35" s="465"/>
      <x:c r="I35" s="465"/>
      <x:c r="J35" s="465"/>
      <x:c r="K35" s="448"/>
    </x:row>
    <x:row r="36" ht="28" customHeight="1">
      <x:c r="A36" s="448"/>
      <x:c r="B36" s="471" t="str">
        <x:v>Instant payout events</x:v>
      </x:c>
      <x:c r="C36" s="471"/>
      <x:c r="D36" s="471" t="str">
        <x:v>events / year</x:v>
      </x:c>
      <x:c r="E36" s="468" t="n">
        <x:v>0</x:v>
      </x:c>
      <x:c r="F36" s="468" t="n">
        <x:v>0</x:v>
      </x:c>
      <x:c r="G36" s="471" t="str">
        <x:v>Optional</x:v>
      </x:c>
      <x:c r="H36" s="471"/>
      <x:c r="I36" s="471"/>
      <x:c r="J36" s="471"/>
      <x:c r="K36" s="448"/>
    </x:row>
    <x:row r="37" ht="28" customHeight="1">
      <x:c r="A37" s="448"/>
      <x:c r="B37" s="465" t="str">
        <x:v>Collateral balance</x:v>
      </x:c>
      <x:c r="C37" s="465"/>
      <x:c r="D37" s="465" t="str">
        <x:v>USD average</x:v>
      </x:c>
      <x:c r="E37" s="473" t="n">
        <x:v>5000</x:v>
      </x:c>
      <x:c r="F37" s="473" t="n">
        <x:v>5000</x:v>
      </x:c>
      <x:c r="G37" s="465" t="str">
        <x:v>Illustrative only</x:v>
      </x:c>
      <x:c r="H37" s="465"/>
      <x:c r="I37" s="465"/>
      <x:c r="J37" s="465"/>
      <x:c r="K37" s="448"/>
    </x:row>
    <x:row r="38" ht="28" customHeight="1">
      <x:c r="A38" s="448"/>
      <x:c r="B38" s="471" t="str">
        <x:v>Internal operating users</x:v>
      </x:c>
      <x:c r="C38" s="471"/>
      <x:c r="D38" s="471" t="str">
        <x:v>users</x:v>
      </x:c>
      <x:c r="E38" s="468" t="n">
        <x:v>5</x:v>
      </x:c>
      <x:c r="F38" s="468" t="n">
        <x:v>5</x:v>
      </x:c>
      <x:c r="G38" s="471" t="str">
        <x:v>Planning assumption</x:v>
      </x:c>
      <x:c r="H38" s="471"/>
      <x:c r="I38" s="471"/>
      <x:c r="J38" s="471"/>
      <x:c r="K38" s="448"/>
    </x:row>
    <x:row r="39" ht="28" customHeight="1">
      <x:c r="A39" s="448"/>
      <x:c r="B39" s="465" t="str">
        <x:v>Partner members</x:v>
      </x:c>
      <x:c r="C39" s="465"/>
      <x:c r="D39" s="465" t="str">
        <x:v>members</x:v>
      </x:c>
      <x:c r="E39" s="468" t="n">
        <x:v>0</x:v>
      </x:c>
      <x:c r="F39" s="468" t="n">
        <x:v>0</x:v>
      </x:c>
      <x:c r="G39" s="465" t="str">
        <x:v>Future wholesale / partner program</x:v>
      </x:c>
      <x:c r="H39" s="465"/>
      <x:c r="I39" s="465"/>
      <x:c r="J39" s="465"/>
      <x:c r="K39" s="448"/>
    </x:row>
    <x:row r="40" ht="28" customHeight="1">
      <x:c r="A40" s="448"/>
      <x:c r="B40" s="471" t="str">
        <x:v>Partner provider-fee revenue</x:v>
      </x:c>
      <x:c r="C40" s="471"/>
      <x:c r="D40" s="471" t="str">
        <x:v>USD / year</x:v>
      </x:c>
      <x:c r="E40" s="468" t="n">
        <x:v>0</x:v>
      </x:c>
      <x:c r="F40" s="468" t="n">
        <x:v>0</x:v>
      </x:c>
      <x:c r="G40" s="471" t="str">
        <x:v>Future wholesale / partner program</x:v>
      </x:c>
      <x:c r="H40" s="471"/>
      <x:c r="I40" s="471"/>
      <x:c r="J40" s="471"/>
      <x:c r="K40" s="448"/>
    </x:row>
    <x:row r="41" ht="28" customHeight="1">
      <x:c r="A41" s="448"/>
      <x:c r="B41" s="465" t="str">
        <x:v>Partner issuer income</x:v>
      </x:c>
      <x:c r="C41" s="465"/>
      <x:c r="D41" s="465" t="str">
        <x:v>USD / year</x:v>
      </x:c>
      <x:c r="E41" s="468" t="n">
        <x:v>0</x:v>
      </x:c>
      <x:c r="F41" s="468" t="n">
        <x:v>0</x:v>
      </x:c>
      <x:c r="G41" s="465" t="str">
        <x:v>Future wholesale / partner program</x:v>
      </x:c>
      <x:c r="H41" s="465"/>
      <x:c r="I41" s="465"/>
      <x:c r="J41" s="465"/>
      <x:c r="K41" s="448"/>
    </x:row>
    <x:row r="42" ht="28" customHeight="1">
      <x:c r="A42" s="448"/>
      <x:c r="B42" s="471" t="str">
        <x:v>Partner support hours</x:v>
      </x:c>
      <x:c r="C42" s="471"/>
      <x:c r="D42" s="471" t="str">
        <x:v>hours / year</x:v>
      </x:c>
      <x:c r="E42" s="468" t="n">
        <x:v>0</x:v>
      </x:c>
      <x:c r="F42" s="468" t="n">
        <x:v>0</x:v>
      </x:c>
      <x:c r="G42" s="471" t="str">
        <x:v>Future wholesale / partner program</x:v>
      </x:c>
      <x:c r="H42" s="471"/>
      <x:c r="I42" s="471"/>
      <x:c r="J42" s="471"/>
      <x:c r="K42" s="448"/>
    </x:row>
    <x:row r="43">
      <x:c r="A43" s="448"/>
      <x:c r="B43" s="448"/>
      <x:c r="C43" s="448"/>
      <x:c r="D43" s="448"/>
      <x:c r="E43" s="448"/>
      <x:c r="F43" s="448"/>
      <x:c r="G43" s="448"/>
      <x:c r="H43" s="448"/>
      <x:c r="I43" s="448"/>
      <x:c r="J43" s="448"/>
      <x:c r="K43" s="448"/>
    </x:row>
    <x:row r="44">
      <x:c r="A44" s="448"/>
      <x:c r="B44" s="448"/>
      <x:c r="C44" s="448"/>
      <x:c r="D44" s="448"/>
      <x:c r="E44" s="448"/>
      <x:c r="F44" s="448"/>
      <x:c r="G44" s="448"/>
      <x:c r="H44" s="448"/>
      <x:c r="I44" s="448"/>
      <x:c r="J44" s="448"/>
      <x:c r="K44" s="448"/>
    </x:row>
    <x:row r="45">
      <x:c r="A45" s="448"/>
      <x:c r="B45" s="448"/>
      <x:c r="C45" s="448"/>
      <x:c r="D45" s="448"/>
      <x:c r="E45" s="448"/>
      <x:c r="F45" s="448"/>
      <x:c r="G45" s="448"/>
      <x:c r="H45" s="448"/>
      <x:c r="I45" s="448"/>
      <x:c r="J45" s="448"/>
      <x:c r="K45" s="448"/>
    </x:row>
    <x:row r="46" ht="24" customHeight="1">
      <x:c r="A46" s="448"/>
      <x:c r="B46" s="459" t="str">
        <x:v>2. Annual cost drivers</x:v>
      </x:c>
      <x:c r="C46" s="459"/>
      <x:c r="D46" s="459"/>
      <x:c r="E46" s="459"/>
      <x:c r="F46" s="459"/>
      <x:c r="G46" s="459"/>
      <x:c r="H46" s="459"/>
      <x:c r="I46" s="459"/>
      <x:c r="J46" s="459"/>
      <x:c r="K46" s="448"/>
    </x:row>
    <x:row r="47">
      <x:c r="A47" s="448"/>
      <x:c r="B47" s="463" t="str">
        <x:v>DRIVER ID</x:v>
      </x:c>
      <x:c r="C47" s="463" t="str">
        <x:v>DESCRIPTION</x:v>
      </x:c>
      <x:c r="D47" s="463" t="str">
        <x:v>UNIT</x:v>
      </x:c>
      <x:c r="E47" s="463" t="str">
        <x:v>SELECT</x:v>
      </x:c>
      <x:c r="F47" s="463" t="str">
        <x:v>PREMIER</x:v>
      </x:c>
      <x:c r="G47" s="463" t="str">
        <x:v>SOURCE / FORMULA</x:v>
      </x:c>
      <x:c r="H47" s="463"/>
      <x:c r="I47" s="463"/>
      <x:c r="J47" s="463"/>
      <x:c r="K47" s="448"/>
    </x:row>
    <x:row r="48" ht="25" customHeight="1">
      <x:c r="A48" s="448"/>
      <x:c r="B48" s="465" t="str">
        <x:v>MEMBERS</x:v>
      </x:c>
      <x:c r="C48" s="465" t="str">
        <x:v>Active memberships</x:v>
      </x:c>
      <x:c r="D48" s="465" t="str">
        <x:v>members</x:v>
      </x:c>
      <x:c r="E48" s="478" t="n">
        <x:f>1</x:f>
        <x:v>1</x:v>
      </x:c>
      <x:c r="F48" s="478" t="n">
        <x:f>1</x:f>
        <x:v>1</x:v>
      </x:c>
      <x:c r="G48" s="465" t="str">
        <x:v>One modeled relationship</x:v>
      </x:c>
      <x:c r="H48" s="465"/>
      <x:c r="I48" s="465"/>
      <x:c r="J48" s="465"/>
      <x:c r="K48" s="448"/>
    </x:row>
    <x:row r="49" ht="25" customHeight="1">
      <x:c r="A49" s="448"/>
      <x:c r="B49" s="471" t="str">
        <x:v>MEMBER_MONTHS</x:v>
      </x:c>
      <x:c r="C49" s="471" t="str">
        <x:v>Active member months</x:v>
      </x:c>
      <x:c r="D49" s="471" t="str">
        <x:v>member-months</x:v>
      </x:c>
      <x:c r="E49" s="479" t="n">
        <x:f>12</x:f>
        <x:v>12</x:v>
      </x:c>
      <x:c r="F49" s="479" t="n">
        <x:f>12</x:f>
        <x:v>12</x:v>
      </x:c>
      <x:c r="G49" s="471" t="str">
        <x:v>One full year</x:v>
      </x:c>
      <x:c r="H49" s="471"/>
      <x:c r="I49" s="471"/>
      <x:c r="J49" s="471"/>
      <x:c r="K49" s="448"/>
    </x:row>
    <x:row r="50" ht="25" customHeight="1">
      <x:c r="A50" s="448"/>
      <x:c r="B50" s="465" t="str">
        <x:v>MEMBERSHIP_REVENUE_$</x:v>
      </x:c>
      <x:c r="C50" s="465" t="str">
        <x:v>Membership fee revenue</x:v>
      </x:c>
      <x:c r="D50" s="465" t="str">
        <x:v>USD</x:v>
      </x:c>
      <x:c r="E50" s="480" t="n">
        <x:f>'Inputs'!F9</x:f>
        <x:v>120</x:v>
      </x:c>
      <x:c r="F50" s="480" t="n">
        <x:f>'Inputs'!I9</x:f>
        <x:v>300</x:v>
      </x:c>
      <x:c r="G50" s="465" t="str">
        <x:v>Commercial terms</x:v>
      </x:c>
      <x:c r="H50" s="465"/>
      <x:c r="I50" s="465"/>
      <x:c r="J50" s="465"/>
      <x:c r="K50" s="448"/>
    </x:row>
    <x:row r="51" ht="25" customHeight="1">
      <x:c r="A51" s="448"/>
      <x:c r="B51" s="471" t="str">
        <x:v>RENEWAL_EVENTS</x:v>
      </x:c>
      <x:c r="C51" s="471" t="str">
        <x:v>Membership renewal / billing events</x:v>
      </x:c>
      <x:c r="D51" s="471" t="str">
        <x:v>events</x:v>
      </x:c>
      <x:c r="E51" s="479" t="n">
        <x:f>1</x:f>
        <x:v>1</x:v>
      </x:c>
      <x:c r="F51" s="479" t="n">
        <x:f>1</x:f>
        <x:v>1</x:v>
      </x:c>
      <x:c r="G51" s="471" t="str">
        <x:v>One annual membership</x:v>
      </x:c>
      <x:c r="H51" s="471"/>
      <x:c r="I51" s="471"/>
      <x:c r="J51" s="471"/>
      <x:c r="K51" s="448"/>
    </x:row>
    <x:row r="52" ht="25" customHeight="1">
      <x:c r="A52" s="448"/>
      <x:c r="B52" s="465" t="str">
        <x:v>NEW_MEMBERS</x:v>
      </x:c>
      <x:c r="C52" s="465" t="str">
        <x:v>New members acquired</x:v>
      </x:c>
      <x:c r="D52" s="465" t="str">
        <x:v>members</x:v>
      </x:c>
      <x:c r="E52" s="478" t="n">
        <x:f>1</x:f>
        <x:v>1</x:v>
      </x:c>
      <x:c r="F52" s="478" t="n">
        <x:f>1</x:f>
        <x:v>1</x:v>
      </x:c>
      <x:c r="G52" s="465" t="str">
        <x:v>One modeled relationship</x:v>
      </x:c>
      <x:c r="H52" s="465"/>
      <x:c r="I52" s="465"/>
      <x:c r="J52" s="465"/>
      <x:c r="K52" s="448"/>
    </x:row>
    <x:row r="53" ht="25" customHeight="1">
      <x:c r="A53" s="448"/>
      <x:c r="B53" s="471" t="str">
        <x:v>HOUSEHOLD_PARTICIPANTS</x:v>
      </x:c>
      <x:c r="C53" s="471" t="str">
        <x:v>Authorized household participants</x:v>
      </x:c>
      <x:c r="D53" s="471" t="str">
        <x:v>people</x:v>
      </x:c>
      <x:c r="E53" s="479" t="n">
        <x:f>E9</x:f>
        <x:v>2</x:v>
      </x:c>
      <x:c r="F53" s="479" t="n">
        <x:f>F9</x:f>
        <x:v>2</x:v>
      </x:c>
      <x:c r="G53" s="471" t="str">
        <x:v>Operating assumption</x:v>
      </x:c>
      <x:c r="H53" s="471"/>
      <x:c r="I53" s="471"/>
      <x:c r="J53" s="471"/>
      <x:c r="K53" s="448"/>
    </x:row>
    <x:row r="54" ht="25" customHeight="1">
      <x:c r="A54" s="448"/>
      <x:c r="B54" s="465" t="str">
        <x:v>HOUSEHOLD_PARTICIPANT_MONTHS</x:v>
      </x:c>
      <x:c r="C54" s="465" t="str">
        <x:v>Household participant months</x:v>
      </x:c>
      <x:c r="D54" s="465" t="str">
        <x:v>participant-months</x:v>
      </x:c>
      <x:c r="E54" s="478" t="n">
        <x:f>E53*12</x:f>
        <x:v>24</x:v>
      </x:c>
      <x:c r="F54" s="478" t="n">
        <x:f>F53*12</x:f>
        <x:v>24</x:v>
      </x:c>
      <x:c r="G54" s="465" t="str">
        <x:v>Participants × 12</x:v>
      </x:c>
      <x:c r="H54" s="465"/>
      <x:c r="I54" s="465"/>
      <x:c r="J54" s="465"/>
      <x:c r="K54" s="448"/>
    </x:row>
    <x:row r="55" ht="25" customHeight="1">
      <x:c r="A55" s="448"/>
      <x:c r="B55" s="471" t="str">
        <x:v>SELLER_PROFILES</x:v>
      </x:c>
      <x:c r="C55" s="471" t="str">
        <x:v>Active seller profiles</x:v>
      </x:c>
      <x:c r="D55" s="471" t="str">
        <x:v>profiles</x:v>
      </x:c>
      <x:c r="E55" s="479" t="n">
        <x:f>IF('Model Engine'!F7&gt;0,E10,0)</x:f>
        <x:v>1</x:v>
      </x:c>
      <x:c r="F55" s="479" t="n">
        <x:f>IF('Model Engine'!F7&gt;0,F10,0)</x:f>
        <x:v>1</x:v>
      </x:c>
      <x:c r="G55" s="471" t="str">
        <x:v>Sales scenario + assumption</x:v>
      </x:c>
      <x:c r="H55" s="471"/>
      <x:c r="I55" s="471"/>
      <x:c r="J55" s="471"/>
      <x:c r="K55" s="448"/>
    </x:row>
    <x:row r="56" ht="25" customHeight="1">
      <x:c r="A56" s="448"/>
      <x:c r="B56" s="465" t="str">
        <x:v>SELLER_PROFILE_MONTHS</x:v>
      </x:c>
      <x:c r="C56" s="465" t="str">
        <x:v>Active seller profile months</x:v>
      </x:c>
      <x:c r="D56" s="465" t="str">
        <x:v>seller-months</x:v>
      </x:c>
      <x:c r="E56" s="478" t="n">
        <x:f>E55*12</x:f>
        <x:v>12</x:v>
      </x:c>
      <x:c r="F56" s="478" t="n">
        <x:f>F55*12</x:f>
        <x:v>12</x:v>
      </x:c>
      <x:c r="G56" s="465" t="str">
        <x:v>Seller profiles × 12</x:v>
      </x:c>
      <x:c r="H56" s="465"/>
      <x:c r="I56" s="465"/>
      <x:c r="J56" s="465"/>
      <x:c r="K56" s="448"/>
    </x:row>
    <x:row r="57" ht="25" customHeight="1">
      <x:c r="A57" s="448"/>
      <x:c r="B57" s="471" t="str">
        <x:v>SALES_$</x:v>
      </x:c>
      <x:c r="C57" s="471" t="str">
        <x:v>Annual customer sales</x:v>
      </x:c>
      <x:c r="D57" s="471" t="str">
        <x:v>USD</x:v>
      </x:c>
      <x:c r="E57" s="481" t="n">
        <x:f>'Model Engine'!F7</x:f>
        <x:v>100000</x:v>
      </x:c>
      <x:c r="F57" s="481" t="n">
        <x:f>'Model Engine'!F7</x:f>
        <x:v>100000</x:v>
      </x:c>
      <x:c r="G57" s="471" t="str">
        <x:v>Command Center scenario</x:v>
      </x:c>
      <x:c r="H57" s="471"/>
      <x:c r="I57" s="471"/>
      <x:c r="J57" s="471"/>
      <x:c r="K57" s="448"/>
    </x:row>
    <x:row r="58" ht="25" customHeight="1">
      <x:c r="A58" s="448"/>
      <x:c r="B58" s="465" t="str">
        <x:v>SALE_PAYMENTS</x:v>
      </x:c>
      <x:c r="C58" s="465" t="str">
        <x:v>Settled customer payments</x:v>
      </x:c>
      <x:c r="D58" s="465" t="str">
        <x:v>payments</x:v>
      </x:c>
      <x:c r="E58" s="478" t="n">
        <x:f>'Model Engine'!F8</x:f>
        <x:v>1000</x:v>
      </x:c>
      <x:c r="F58" s="478" t="n">
        <x:f>'Model Engine'!F8</x:f>
        <x:v>1000</x:v>
      </x:c>
      <x:c r="G58" s="465" t="str">
        <x:v>Command Center scenario</x:v>
      </x:c>
      <x:c r="H58" s="465"/>
      <x:c r="I58" s="465"/>
      <x:c r="J58" s="465"/>
      <x:c r="K58" s="448"/>
    </x:row>
    <x:row r="59" ht="25" customHeight="1">
      <x:c r="A59" s="448"/>
      <x:c r="B59" s="471" t="str">
        <x:v>SALE_AUTH_ATTEMPTS</x:v>
      </x:c>
      <x:c r="C59" s="471" t="str">
        <x:v>Payment authorization attempts</x:v>
      </x:c>
      <x:c r="D59" s="471" t="str">
        <x:v>attempts</x:v>
      </x:c>
      <x:c r="E59" s="479" t="n">
        <x:f>IF(E58=0,0,E58/E11)</x:f>
        <x:v>1052.6315789473686</x:v>
      </x:c>
      <x:c r="F59" s="479" t="n">
        <x:f>IF(F58=0,0,F58/F11)</x:f>
        <x:v>1052.6315789473686</x:v>
      </x:c>
      <x:c r="G59" s="471" t="str">
        <x:v>Payments ÷ success rate</x:v>
      </x:c>
      <x:c r="H59" s="471"/>
      <x:c r="I59" s="471"/>
      <x:c r="J59" s="471"/>
      <x:c r="K59" s="448"/>
    </x:row>
    <x:row r="60" ht="25" customHeight="1">
      <x:c r="A60" s="448"/>
      <x:c r="B60" s="465" t="str">
        <x:v>REFUNDS</x:v>
      </x:c>
      <x:c r="C60" s="465" t="str">
        <x:v>Customer refunds</x:v>
      </x:c>
      <x:c r="D60" s="465" t="str">
        <x:v>events</x:v>
      </x:c>
      <x:c r="E60" s="478" t="n">
        <x:f>E58*E12</x:f>
        <x:v>10</x:v>
      </x:c>
      <x:c r="F60" s="478" t="n">
        <x:f>F58*F12</x:f>
        <x:v>10</x:v>
      </x:c>
      <x:c r="G60" s="465" t="str">
        <x:v>Payments × refund rate</x:v>
      </x:c>
      <x:c r="H60" s="465"/>
      <x:c r="I60" s="465"/>
      <x:c r="J60" s="465"/>
      <x:c r="K60" s="448"/>
    </x:row>
    <x:row r="61" ht="25" customHeight="1">
      <x:c r="A61" s="448"/>
      <x:c r="B61" s="471" t="str">
        <x:v>PAYFAC_DISPUTES</x:v>
      </x:c>
      <x:c r="C61" s="471" t="str">
        <x:v>Acquiring disputes</x:v>
      </x:c>
      <x:c r="D61" s="471" t="str">
        <x:v>events</x:v>
      </x:c>
      <x:c r="E61" s="479" t="n">
        <x:f>E58*E13</x:f>
        <x:v>2</x:v>
      </x:c>
      <x:c r="F61" s="479" t="n">
        <x:f>F58*F13</x:f>
        <x:v>2</x:v>
      </x:c>
      <x:c r="G61" s="471" t="str">
        <x:v>Payments × dispute rate</x:v>
      </x:c>
      <x:c r="H61" s="471"/>
      <x:c r="I61" s="471"/>
      <x:c r="J61" s="471"/>
      <x:c r="K61" s="448"/>
    </x:row>
    <x:row r="62" ht="25" customHeight="1">
      <x:c r="A62" s="448"/>
      <x:c r="B62" s="465" t="str">
        <x:v>PAYOUTS</x:v>
      </x:c>
      <x:c r="C62" s="465" t="str">
        <x:v>Standard seller payouts</x:v>
      </x:c>
      <x:c r="D62" s="465" t="str">
        <x:v>payouts</x:v>
      </x:c>
      <x:c r="E62" s="478" t="n">
        <x:f>E55*E14*12</x:f>
        <x:v>12</x:v>
      </x:c>
      <x:c r="F62" s="478" t="n">
        <x:f>F55*F14*12</x:f>
        <x:v>12</x:v>
      </x:c>
      <x:c r="G62" s="465" t="str">
        <x:v>Seller profiles × payouts/month</x:v>
      </x:c>
      <x:c r="H62" s="465"/>
      <x:c r="I62" s="465"/>
      <x:c r="J62" s="465"/>
      <x:c r="K62" s="448"/>
    </x:row>
    <x:row r="63" ht="25" customHeight="1">
      <x:c r="A63" s="448"/>
      <x:c r="B63" s="471" t="str">
        <x:v>KYB_CHECKS</x:v>
      </x:c>
      <x:c r="C63" s="471" t="str">
        <x:v>Seller KYC / KYB checks</x:v>
      </x:c>
      <x:c r="D63" s="471" t="str">
        <x:v>checks</x:v>
      </x:c>
      <x:c r="E63" s="479" t="n">
        <x:f>E55</x:f>
        <x:v>1</x:v>
      </x:c>
      <x:c r="F63" s="479" t="n">
        <x:f>F55</x:f>
        <x:v>1</x:v>
      </x:c>
      <x:c r="G63" s="471" t="str">
        <x:v>One per seller profile</x:v>
      </x:c>
      <x:c r="H63" s="471"/>
      <x:c r="I63" s="471"/>
      <x:c r="J63" s="471"/>
      <x:c r="K63" s="448"/>
    </x:row>
    <x:row r="64" ht="25" customHeight="1">
      <x:c r="A64" s="448"/>
      <x:c r="B64" s="465" t="str">
        <x:v>CONSUMER_KYC_CHECKS</x:v>
      </x:c>
      <x:c r="C64" s="465" t="str">
        <x:v>Consumer identity checks</x:v>
      </x:c>
      <x:c r="D64" s="465" t="str">
        <x:v>checks</x:v>
      </x:c>
      <x:c r="E64" s="478" t="n">
        <x:f>1</x:f>
        <x:v>1</x:v>
      </x:c>
      <x:c r="F64" s="478" t="n">
        <x:f>1</x:f>
        <x:v>1</x:v>
      </x:c>
      <x:c r="G64" s="465" t="str">
        <x:v>One primary member</x:v>
      </x:c>
      <x:c r="H64" s="465"/>
      <x:c r="I64" s="465"/>
      <x:c r="J64" s="465"/>
      <x:c r="K64" s="448"/>
    </x:row>
    <x:row r="65" ht="25" customHeight="1">
      <x:c r="A65" s="448"/>
      <x:c r="B65" s="471" t="str">
        <x:v>PAYFAC_REVIEW_HOURS</x:v>
      </x:c>
      <x:c r="C65" s="471" t="str">
        <x:v>PayFac manual review hours</x:v>
      </x:c>
      <x:c r="D65" s="471" t="str">
        <x:v>hours</x:v>
      </x:c>
      <x:c r="E65" s="479" t="n">
        <x:f>E55*E20</x:f>
        <x:v>1</x:v>
      </x:c>
      <x:c r="F65" s="479" t="n">
        <x:f>F55*F20</x:f>
        <x:v>1</x:v>
      </x:c>
      <x:c r="G65" s="471" t="str">
        <x:v>Seller profiles × review hours</x:v>
      </x:c>
      <x:c r="H65" s="471"/>
      <x:c r="I65" s="471"/>
      <x:c r="J65" s="471"/>
      <x:c r="K65" s="448"/>
    </x:row>
    <x:row r="66" ht="25" customHeight="1">
      <x:c r="A66" s="448"/>
      <x:c r="B66" s="465" t="str">
        <x:v>REFUND_OPS_HOURS</x:v>
      </x:c>
      <x:c r="C66" s="465" t="str">
        <x:v>Refund operations hours</x:v>
      </x:c>
      <x:c r="D66" s="465" t="str">
        <x:v>hours</x:v>
      </x:c>
      <x:c r="E66" s="478" t="n">
        <x:f>E60*E21</x:f>
        <x:v>1</x:v>
      </x:c>
      <x:c r="F66" s="478" t="n">
        <x:f>F60*F21</x:f>
        <x:v>1</x:v>
      </x:c>
      <x:c r="G66" s="465" t="str">
        <x:v>Refunds × handling time</x:v>
      </x:c>
      <x:c r="H66" s="465"/>
      <x:c r="I66" s="465"/>
      <x:c r="J66" s="465"/>
      <x:c r="K66" s="448"/>
    </x:row>
    <x:row r="67" ht="25" customHeight="1">
      <x:c r="A67" s="448"/>
      <x:c r="B67" s="471" t="str">
        <x:v>PAYFAC_DISPUTE_OPS_HOURS</x:v>
      </x:c>
      <x:c r="C67" s="471" t="str">
        <x:v>Acquiring dispute operations hours</x:v>
      </x:c>
      <x:c r="D67" s="471" t="str">
        <x:v>hours</x:v>
      </x:c>
      <x:c r="E67" s="479" t="n">
        <x:f>E61*E22</x:f>
        <x:v>1</x:v>
      </x:c>
      <x:c r="F67" s="479" t="n">
        <x:f>F61*F22</x:f>
        <x:v>1</x:v>
      </x:c>
      <x:c r="G67" s="471" t="str">
        <x:v>Disputes × handling time</x:v>
      </x:c>
      <x:c r="H67" s="471"/>
      <x:c r="I67" s="471"/>
      <x:c r="J67" s="471"/>
      <x:c r="K67" s="448"/>
    </x:row>
    <x:row r="68" ht="25" customHeight="1">
      <x:c r="A68" s="448"/>
      <x:c r="B68" s="465" t="str">
        <x:v>TOTAL_SUPPORT_HOURS</x:v>
      </x:c>
      <x:c r="C68" s="465" t="str">
        <x:v>Total support hours</x:v>
      </x:c>
      <x:c r="D68" s="465" t="str">
        <x:v>hours</x:v>
      </x:c>
      <x:c r="E68" s="478" t="n">
        <x:f>E18*E19/60</x:f>
        <x:v>0.6666666666666666</x:v>
      </x:c>
      <x:c r="F68" s="478" t="n">
        <x:f>F18*F19/60</x:f>
        <x:v>0.8333333333333334</x:v>
      </x:c>
      <x:c r="G68" s="465" t="str">
        <x:v>Contacts × minutes</x:v>
      </x:c>
      <x:c r="H68" s="465"/>
      <x:c r="I68" s="465"/>
      <x:c r="J68" s="465"/>
      <x:c r="K68" s="448"/>
    </x:row>
    <x:row r="69" ht="25" customHeight="1">
      <x:c r="A69" s="448"/>
      <x:c r="B69" s="471" t="str">
        <x:v>MEMBER_SUPPORT_HOURS</x:v>
      </x:c>
      <x:c r="C69" s="471" t="str">
        <x:v>Membership support hours</x:v>
      </x:c>
      <x:c r="D69" s="471" t="str">
        <x:v>hours</x:v>
      </x:c>
      <x:c r="E69" s="479" t="n">
        <x:f>E68*30%</x:f>
        <x:v>0.19999999999999998</x:v>
      </x:c>
      <x:c r="F69" s="479" t="n">
        <x:f>F68*30%</x:f>
        <x:v>0.25</x:v>
      </x:c>
      <x:c r="G69" s="471" t="str">
        <x:v>30% of total support</x:v>
      </x:c>
      <x:c r="H69" s="471"/>
      <x:c r="I69" s="471"/>
      <x:c r="J69" s="471"/>
      <x:c r="K69" s="448"/>
    </x:row>
    <x:row r="70" ht="25" customHeight="1">
      <x:c r="A70" s="448"/>
      <x:c r="B70" s="465" t="str">
        <x:v>PAYFAC_SUPPORT_HOURS</x:v>
      </x:c>
      <x:c r="C70" s="465" t="str">
        <x:v>PayFac support hours</x:v>
      </x:c>
      <x:c r="D70" s="465" t="str">
        <x:v>hours</x:v>
      </x:c>
      <x:c r="E70" s="478" t="n">
        <x:f>E68*35%</x:f>
        <x:v>0.2333333333333333</x:v>
      </x:c>
      <x:c r="F70" s="478" t="n">
        <x:f>F68*35%</x:f>
        <x:v>0.2916666666666667</x:v>
      </x:c>
      <x:c r="G70" s="465" t="str">
        <x:v>35% of total support</x:v>
      </x:c>
      <x:c r="H70" s="465"/>
      <x:c r="I70" s="465"/>
      <x:c r="J70" s="465"/>
      <x:c r="K70" s="448"/>
    </x:row>
    <x:row r="71" ht="25" customHeight="1">
      <x:c r="A71" s="448"/>
      <x:c r="B71" s="471" t="str">
        <x:v>ISSUING_SUPPORT_HOURS</x:v>
      </x:c>
      <x:c r="C71" s="471" t="str">
        <x:v>Issuing support hours</x:v>
      </x:c>
      <x:c r="D71" s="471" t="str">
        <x:v>hours</x:v>
      </x:c>
      <x:c r="E71" s="479" t="n">
        <x:f>E68*35%</x:f>
        <x:v>0.2333333333333333</x:v>
      </x:c>
      <x:c r="F71" s="479" t="n">
        <x:f>F68*35%</x:f>
        <x:v>0.2916666666666667</x:v>
      </x:c>
      <x:c r="G71" s="471" t="str">
        <x:v>35% of total support</x:v>
      </x:c>
      <x:c r="H71" s="471"/>
      <x:c r="I71" s="471"/>
      <x:c r="J71" s="471"/>
      <x:c r="K71" s="448"/>
    </x:row>
    <x:row r="72" ht="25" customHeight="1">
      <x:c r="A72" s="448"/>
      <x:c r="B72" s="465" t="str">
        <x:v>ACH_SALES_$</x:v>
      </x:c>
      <x:c r="C72" s="465" t="str">
        <x:v>ACH / bank-payment volume</x:v>
      </x:c>
      <x:c r="D72" s="465" t="str">
        <x:v>USD</x:v>
      </x:c>
      <x:c r="E72" s="480" t="n">
        <x:f>E33</x:f>
        <x:v>0</x:v>
      </x:c>
      <x:c r="F72" s="480" t="n">
        <x:f>F33</x:f>
        <x:v>0</x:v>
      </x:c>
      <x:c r="G72" s="465" t="str">
        <x:v>Optional assumption</x:v>
      </x:c>
      <x:c r="H72" s="465"/>
      <x:c r="I72" s="465"/>
      <x:c r="J72" s="465"/>
      <x:c r="K72" s="448"/>
    </x:row>
    <x:row r="73" ht="25" customHeight="1">
      <x:c r="A73" s="448"/>
      <x:c r="B73" s="471" t="str">
        <x:v>ACH_TRANSACTIONS</x:v>
      </x:c>
      <x:c r="C73" s="471" t="str">
        <x:v>ACH / bank-payment transactions</x:v>
      </x:c>
      <x:c r="D73" s="471" t="str">
        <x:v>transactions</x:v>
      </x:c>
      <x:c r="E73" s="479" t="n">
        <x:f>E34</x:f>
        <x:v>0</x:v>
      </x:c>
      <x:c r="F73" s="479" t="n">
        <x:f>F34</x:f>
        <x:v>0</x:v>
      </x:c>
      <x:c r="G73" s="471" t="str">
        <x:v>Optional assumption</x:v>
      </x:c>
      <x:c r="H73" s="471"/>
      <x:c r="I73" s="471"/>
      <x:c r="J73" s="471"/>
      <x:c r="K73" s="448"/>
    </x:row>
    <x:row r="74" ht="25" customHeight="1">
      <x:c r="A74" s="448"/>
      <x:c r="B74" s="465" t="str">
        <x:v>INSTANT_PAYOUT_$</x:v>
      </x:c>
      <x:c r="C74" s="465" t="str">
        <x:v>Instant payout volume</x:v>
      </x:c>
      <x:c r="D74" s="465" t="str">
        <x:v>USD</x:v>
      </x:c>
      <x:c r="E74" s="480" t="n">
        <x:f>E35</x:f>
        <x:v>0</x:v>
      </x:c>
      <x:c r="F74" s="480" t="n">
        <x:f>F35</x:f>
        <x:v>0</x:v>
      </x:c>
      <x:c r="G74" s="465" t="str">
        <x:v>Optional assumption</x:v>
      </x:c>
      <x:c r="H74" s="465"/>
      <x:c r="I74" s="465"/>
      <x:c r="J74" s="465"/>
      <x:c r="K74" s="448"/>
    </x:row>
    <x:row r="75" ht="25" customHeight="1">
      <x:c r="A75" s="448"/>
      <x:c r="B75" s="471" t="str">
        <x:v>INSTANT_PAYOUTS</x:v>
      </x:c>
      <x:c r="C75" s="471" t="str">
        <x:v>Instant payout events</x:v>
      </x:c>
      <x:c r="D75" s="471" t="str">
        <x:v>events</x:v>
      </x:c>
      <x:c r="E75" s="479" t="n">
        <x:f>E36</x:f>
        <x:v>0</x:v>
      </x:c>
      <x:c r="F75" s="479" t="n">
        <x:f>F36</x:f>
        <x:v>0</x:v>
      </x:c>
      <x:c r="G75" s="471" t="str">
        <x:v>Optional assumption</x:v>
      </x:c>
      <x:c r="H75" s="471"/>
      <x:c r="I75" s="471"/>
      <x:c r="J75" s="471"/>
      <x:c r="K75" s="448"/>
    </x:row>
    <x:row r="76" ht="25" customHeight="1">
      <x:c r="A76" s="448"/>
      <x:c r="B76" s="465" t="str">
        <x:v>HARDWARE_UNITS</x:v>
      </x:c>
      <x:c r="C76" s="465" t="str">
        <x:v>Payment hardware units</x:v>
      </x:c>
      <x:c r="D76" s="465" t="str">
        <x:v>units</x:v>
      </x:c>
      <x:c r="E76" s="478" t="n">
        <x:f>E32</x:f>
        <x:v>0</x:v>
      </x:c>
      <x:c r="F76" s="478" t="n">
        <x:f>F32</x:f>
        <x:v>0</x:v>
      </x:c>
      <x:c r="G76" s="465" t="str">
        <x:v>Optional assumption</x:v>
      </x:c>
      <x:c r="H76" s="465"/>
      <x:c r="I76" s="465"/>
      <x:c r="J76" s="465"/>
      <x:c r="K76" s="448"/>
    </x:row>
    <x:row r="77" ht="25" customHeight="1">
      <x:c r="A77" s="448"/>
      <x:c r="B77" s="471" t="str">
        <x:v>ISSUED_SPEND_$</x:v>
      </x:c>
      <x:c r="C77" s="471" t="str">
        <x:v>Annual eligible purchases</x:v>
      </x:c>
      <x:c r="D77" s="471" t="str">
        <x:v>USD</x:v>
      </x:c>
      <x:c r="E77" s="481" t="n">
        <x:f>'Model Engine'!F9</x:f>
        <x:v>24000</x:v>
      </x:c>
      <x:c r="F77" s="481" t="n">
        <x:f>'Model Engine'!F9</x:f>
        <x:v>24000</x:v>
      </x:c>
      <x:c r="G77" s="471" t="str">
        <x:v>Command Center scenario</x:v>
      </x:c>
      <x:c r="H77" s="471"/>
      <x:c r="I77" s="471"/>
      <x:c r="J77" s="471"/>
      <x:c r="K77" s="448"/>
    </x:row>
    <x:row r="78" ht="25" customHeight="1">
      <x:c r="A78" s="448"/>
      <x:c r="B78" s="465" t="str">
        <x:v>PURCHASE_TRANSACTIONS</x:v>
      </x:c>
      <x:c r="C78" s="465" t="str">
        <x:v>Purchase transactions</x:v>
      </x:c>
      <x:c r="D78" s="465" t="str">
        <x:v>transactions</x:v>
      </x:c>
      <x:c r="E78" s="478" t="n">
        <x:f>IF(E15=0,0,E77/E15)</x:f>
        <x:v>240</x:v>
      </x:c>
      <x:c r="F78" s="478" t="n">
        <x:f>IF(F15=0,0,F77/F15)</x:f>
        <x:v>240</x:v>
      </x:c>
      <x:c r="G78" s="465" t="str">
        <x:v>Spend ÷ average purchase</x:v>
      </x:c>
      <x:c r="H78" s="465"/>
      <x:c r="I78" s="465"/>
      <x:c r="J78" s="465"/>
      <x:c r="K78" s="448"/>
    </x:row>
    <x:row r="79" ht="25" customHeight="1">
      <x:c r="A79" s="448"/>
      <x:c r="B79" s="471" t="str">
        <x:v>PURCHASE_AUTH_ATTEMPTS</x:v>
      </x:c>
      <x:c r="C79" s="471" t="str">
        <x:v>Purchase authorization attempts</x:v>
      </x:c>
      <x:c r="D79" s="471" t="str">
        <x:v>attempts</x:v>
      </x:c>
      <x:c r="E79" s="479" t="n">
        <x:f>IF(E78=0,0,E78/E16)</x:f>
        <x:v>252.63157894736844</x:v>
      </x:c>
      <x:c r="F79" s="479" t="n">
        <x:f>IF(F78=0,0,F78/F16)</x:f>
        <x:v>252.63157894736844</x:v>
      </x:c>
      <x:c r="G79" s="471" t="str">
        <x:v>Purchases ÷ approval rate</x:v>
      </x:c>
      <x:c r="H79" s="471"/>
      <x:c r="I79" s="471"/>
      <x:c r="J79" s="471"/>
      <x:c r="K79" s="448"/>
    </x:row>
    <x:row r="80" ht="25" customHeight="1">
      <x:c r="A80" s="448"/>
      <x:c r="B80" s="465" t="str">
        <x:v>PERSONAL_ACCOUNTS</x:v>
      </x:c>
      <x:c r="C80" s="465" t="str">
        <x:v>Active personal spending accounts</x:v>
      </x:c>
      <x:c r="D80" s="465" t="str">
        <x:v>accounts</x:v>
      </x:c>
      <x:c r="E80" s="478" t="n">
        <x:f>1</x:f>
        <x:v>1</x:v>
      </x:c>
      <x:c r="F80" s="478" t="n">
        <x:f>1</x:f>
        <x:v>1</x:v>
      </x:c>
      <x:c r="G80" s="465" t="str">
        <x:v>One primary account</x:v>
      </x:c>
      <x:c r="H80" s="465"/>
      <x:c r="I80" s="465"/>
      <x:c r="J80" s="465"/>
      <x:c r="K80" s="448"/>
    </x:row>
    <x:row r="81" ht="25" customHeight="1">
      <x:c r="A81" s="448"/>
      <x:c r="B81" s="471" t="str">
        <x:v>SELLER_SPEND_ACCOUNTS</x:v>
      </x:c>
      <x:c r="C81" s="471" t="str">
        <x:v>Active Seller spending accounts</x:v>
      </x:c>
      <x:c r="D81" s="471" t="str">
        <x:v>accounts</x:v>
      </x:c>
      <x:c r="E81" s="479" t="n">
        <x:f>IF(E55&gt;0,1,0)</x:f>
        <x:v>1</x:v>
      </x:c>
      <x:c r="F81" s="479" t="n">
        <x:f>IF(F55&gt;0,1,0)</x:f>
        <x:v>1</x:v>
      </x:c>
      <x:c r="G81" s="471" t="str">
        <x:v>One when Seller is active</x:v>
      </x:c>
      <x:c r="H81" s="471"/>
      <x:c r="I81" s="471"/>
      <x:c r="J81" s="471"/>
      <x:c r="K81" s="448"/>
    </x:row>
    <x:row r="82" ht="25" customHeight="1">
      <x:c r="A82" s="448"/>
      <x:c r="B82" s="465" t="str">
        <x:v>ISSUED_ACCOUNTS</x:v>
      </x:c>
      <x:c r="C82" s="465" t="str">
        <x:v>Total active spending accounts</x:v>
      </x:c>
      <x:c r="D82" s="465" t="str">
        <x:v>accounts</x:v>
      </x:c>
      <x:c r="E82" s="478" t="n">
        <x:f>E80+E81</x:f>
        <x:v>2</x:v>
      </x:c>
      <x:c r="F82" s="478" t="n">
        <x:f>F80+F81</x:f>
        <x:v>2</x:v>
      </x:c>
      <x:c r="G82" s="465" t="str">
        <x:v>Personal + Seller</x:v>
      </x:c>
      <x:c r="H82" s="465"/>
      <x:c r="I82" s="465"/>
      <x:c r="J82" s="465"/>
      <x:c r="K82" s="448"/>
    </x:row>
    <x:row r="83" ht="25" customHeight="1">
      <x:c r="A83" s="448"/>
      <x:c r="B83" s="471" t="str">
        <x:v>ISSUED_ACCOUNT_MONTHS</x:v>
      </x:c>
      <x:c r="C83" s="471" t="str">
        <x:v>Active spending account months</x:v>
      </x:c>
      <x:c r="D83" s="471" t="str">
        <x:v>account-months</x:v>
      </x:c>
      <x:c r="E83" s="479" t="n">
        <x:f>E82*12</x:f>
        <x:v>24</x:v>
      </x:c>
      <x:c r="F83" s="479" t="n">
        <x:f>F82*12</x:f>
        <x:v>24</x:v>
      </x:c>
      <x:c r="G83" s="471" t="str">
        <x:v>Accounts × 12</x:v>
      </x:c>
      <x:c r="H83" s="471"/>
      <x:c r="I83" s="471"/>
      <x:c r="J83" s="471"/>
      <x:c r="K83" s="448"/>
    </x:row>
    <x:row r="84" ht="25" customHeight="1">
      <x:c r="A84" s="448"/>
      <x:c r="B84" s="465" t="str">
        <x:v>PHYSICAL_CREDENTIALS</x:v>
      </x:c>
      <x:c r="C84" s="465" t="str">
        <x:v>Physical payment credentials</x:v>
      </x:c>
      <x:c r="D84" s="465" t="str">
        <x:v>credentials</x:v>
      </x:c>
      <x:c r="E84" s="478" t="n">
        <x:f>E27</x:f>
        <x:v>2</x:v>
      </x:c>
      <x:c r="F84" s="478" t="n">
        <x:f>F27</x:f>
        <x:v>2</x:v>
      </x:c>
      <x:c r="G84" s="465" t="str">
        <x:v>Operating assumption</x:v>
      </x:c>
      <x:c r="H84" s="465"/>
      <x:c r="I84" s="465"/>
      <x:c r="J84" s="465"/>
      <x:c r="K84" s="448"/>
    </x:row>
    <x:row r="85" ht="25" customHeight="1">
      <x:c r="A85" s="448"/>
      <x:c r="B85" s="471" t="str">
        <x:v>VIRTUAL_CREDENTIALS</x:v>
      </x:c>
      <x:c r="C85" s="471" t="str">
        <x:v>Virtual payment credentials</x:v>
      </x:c>
      <x:c r="D85" s="471" t="str">
        <x:v>credentials</x:v>
      </x:c>
      <x:c r="E85" s="479" t="n">
        <x:f>E28</x:f>
        <x:v>5</x:v>
      </x:c>
      <x:c r="F85" s="479" t="n">
        <x:f>F28</x:f>
        <x:v>5</x:v>
      </x:c>
      <x:c r="G85" s="471" t="str">
        <x:v>Operating assumption</x:v>
      </x:c>
      <x:c r="H85" s="471"/>
      <x:c r="I85" s="471"/>
      <x:c r="J85" s="471"/>
      <x:c r="K85" s="448"/>
    </x:row>
    <x:row r="86" ht="25" customHeight="1">
      <x:c r="A86" s="448"/>
      <x:c r="B86" s="465" t="str">
        <x:v>WALLET_TOKENS</x:v>
      </x:c>
      <x:c r="C86" s="465" t="str">
        <x:v>Digital-wallet tokens</x:v>
      </x:c>
      <x:c r="D86" s="465" t="str">
        <x:v>tokens</x:v>
      </x:c>
      <x:c r="E86" s="478" t="n">
        <x:f>E29</x:f>
        <x:v>2</x:v>
      </x:c>
      <x:c r="F86" s="478" t="n">
        <x:f>F29</x:f>
        <x:v>2</x:v>
      </x:c>
      <x:c r="G86" s="465" t="str">
        <x:v>Operating assumption</x:v>
      </x:c>
      <x:c r="H86" s="465"/>
      <x:c r="I86" s="465"/>
      <x:c r="J86" s="465"/>
      <x:c r="K86" s="448"/>
    </x:row>
    <x:row r="87" ht="25" customHeight="1">
      <x:c r="A87" s="448"/>
      <x:c r="B87" s="471" t="str">
        <x:v>REPLACEMENTS</x:v>
      </x:c>
      <x:c r="C87" s="471" t="str">
        <x:v>Physical replacement credentials</x:v>
      </x:c>
      <x:c r="D87" s="471" t="str">
        <x:v>credentials</x:v>
      </x:c>
      <x:c r="E87" s="479" t="n">
        <x:f>E84*E30</x:f>
        <x:v>0.1</x:v>
      </x:c>
      <x:c r="F87" s="479" t="n">
        <x:f>F84*F30</x:f>
        <x:v>0.1</x:v>
      </x:c>
      <x:c r="G87" s="471" t="str">
        <x:v>Physical × replacement rate</x:v>
      </x:c>
      <x:c r="H87" s="471"/>
      <x:c r="I87" s="471"/>
      <x:c r="J87" s="471"/>
      <x:c r="K87" s="448"/>
    </x:row>
    <x:row r="88" ht="25" customHeight="1">
      <x:c r="A88" s="448"/>
      <x:c r="B88" s="465" t="str">
        <x:v>ISSUING_DISPUTES</x:v>
      </x:c>
      <x:c r="C88" s="465" t="str">
        <x:v>Issuing disputes</x:v>
      </x:c>
      <x:c r="D88" s="465" t="str">
        <x:v>events</x:v>
      </x:c>
      <x:c r="E88" s="478" t="n">
        <x:f>E78*E17</x:f>
        <x:v>0.48</x:v>
      </x:c>
      <x:c r="F88" s="478" t="n">
        <x:f>F78*F17</x:f>
        <x:v>0.48</x:v>
      </x:c>
      <x:c r="G88" s="465" t="str">
        <x:v>Purchases × dispute rate</x:v>
      </x:c>
      <x:c r="H88" s="465"/>
      <x:c r="I88" s="465"/>
      <x:c r="J88" s="465"/>
      <x:c r="K88" s="448"/>
    </x:row>
    <x:row r="89" ht="25" customHeight="1">
      <x:c r="A89" s="448"/>
      <x:c r="B89" s="471" t="str">
        <x:v>ISSUING_DISPUTE_OPS_HOURS</x:v>
      </x:c>
      <x:c r="C89" s="471" t="str">
        <x:v>Issuing dispute operations hours</x:v>
      </x:c>
      <x:c r="D89" s="471" t="str">
        <x:v>hours</x:v>
      </x:c>
      <x:c r="E89" s="479" t="n">
        <x:f>E88*E23</x:f>
        <x:v>0.24</x:v>
      </x:c>
      <x:c r="F89" s="479" t="n">
        <x:f>F88*F23</x:f>
        <x:v>0.24</x:v>
      </x:c>
      <x:c r="G89" s="471" t="str">
        <x:v>Disputes × handling time</x:v>
      </x:c>
      <x:c r="H89" s="471"/>
      <x:c r="I89" s="471"/>
      <x:c r="J89" s="471"/>
      <x:c r="K89" s="448"/>
    </x:row>
    <x:row r="90" ht="25" customHeight="1">
      <x:c r="A90" s="448"/>
      <x:c r="B90" s="465" t="str">
        <x:v>STATEMENTS</x:v>
      </x:c>
      <x:c r="C90" s="465" t="str">
        <x:v>Consumer statements</x:v>
      </x:c>
      <x:c r="D90" s="465" t="str">
        <x:v>statements</x:v>
      </x:c>
      <x:c r="E90" s="478" t="n">
        <x:f>E80*12</x:f>
        <x:v>12</x:v>
      </x:c>
      <x:c r="F90" s="478" t="n">
        <x:f>F80*12</x:f>
        <x:v>12</x:v>
      </x:c>
      <x:c r="G90" s="465" t="str">
        <x:v>Personal accounts × 12</x:v>
      </x:c>
      <x:c r="H90" s="465"/>
      <x:c r="I90" s="465"/>
      <x:c r="J90" s="465"/>
      <x:c r="K90" s="448"/>
    </x:row>
    <x:row r="91" ht="25" customHeight="1">
      <x:c r="A91" s="448"/>
      <x:c r="B91" s="471" t="str">
        <x:v>AVG_FUNDED_RECEIVABLE_$</x:v>
      </x:c>
      <x:c r="C91" s="471" t="str">
        <x:v>Average funded issuing receivable</x:v>
      </x:c>
      <x:c r="D91" s="471" t="str">
        <x:v>USD average</x:v>
      </x:c>
      <x:c r="E91" s="481" t="n">
        <x:f>E77*E26/365</x:f>
        <x:v>197.26027397260273</x:v>
      </x:c>
      <x:c r="F91" s="481" t="n">
        <x:f>F77*F26/365</x:f>
        <x:v>197.26027397260273</x:v>
      </x:c>
      <x:c r="G91" s="471" t="str">
        <x:v>Spend × funding days ÷ 365</x:v>
      </x:c>
      <x:c r="H91" s="471"/>
      <x:c r="I91" s="471"/>
      <x:c r="J91" s="471"/>
      <x:c r="K91" s="448"/>
    </x:row>
    <x:row r="92" ht="25" customHeight="1">
      <x:c r="A92" s="448"/>
      <x:c r="B92" s="465" t="str">
        <x:v>COLLATERAL_BALANCE_$</x:v>
      </x:c>
      <x:c r="C92" s="465" t="str">
        <x:v>Average collateral balance</x:v>
      </x:c>
      <x:c r="D92" s="465" t="str">
        <x:v>USD average</x:v>
      </x:c>
      <x:c r="E92" s="480" t="n">
        <x:f>E37</x:f>
        <x:v>5000</x:v>
      </x:c>
      <x:c r="F92" s="480" t="n">
        <x:f>F37</x:f>
        <x:v>5000</x:v>
      </x:c>
      <x:c r="G92" s="465" t="str">
        <x:v>Illustrative assumption</x:v>
      </x:c>
      <x:c r="H92" s="465"/>
      <x:c r="I92" s="465"/>
      <x:c r="J92" s="465"/>
      <x:c r="K92" s="448"/>
    </x:row>
    <x:row r="93" ht="25" customHeight="1">
      <x:c r="A93" s="448"/>
      <x:c r="B93" s="471" t="str">
        <x:v>COLLATERAL_ACCOUNT_MONTHS</x:v>
      </x:c>
      <x:c r="C93" s="471" t="str">
        <x:v>Collateral account months</x:v>
      </x:c>
      <x:c r="D93" s="471" t="str">
        <x:v>account-months</x:v>
      </x:c>
      <x:c r="E93" s="479" t="n">
        <x:f>E82*12</x:f>
        <x:v>24</x:v>
      </x:c>
      <x:c r="F93" s="479" t="n">
        <x:f>F82*12</x:f>
        <x:v>24</x:v>
      </x:c>
      <x:c r="G93" s="471" t="str">
        <x:v>Accounts × 12</x:v>
      </x:c>
      <x:c r="H93" s="471"/>
      <x:c r="I93" s="471"/>
      <x:c r="J93" s="471"/>
      <x:c r="K93" s="448"/>
    </x:row>
    <x:row r="94" ht="25" customHeight="1">
      <x:c r="A94" s="448"/>
      <x:c r="B94" s="465" t="str">
        <x:v>COMPLIANCE_HOURS</x:v>
      </x:c>
      <x:c r="C94" s="465" t="str">
        <x:v>Compliance hours</x:v>
      </x:c>
      <x:c r="D94" s="465" t="str">
        <x:v>hours</x:v>
      </x:c>
      <x:c r="E94" s="478" t="n">
        <x:f>E24</x:f>
        <x:v>1</x:v>
      </x:c>
      <x:c r="F94" s="478" t="n">
        <x:f>F24</x:f>
        <x:v>1</x:v>
      </x:c>
      <x:c r="G94" s="465" t="str">
        <x:v>Operating assumption</x:v>
      </x:c>
      <x:c r="H94" s="465"/>
      <x:c r="I94" s="465"/>
      <x:c r="J94" s="465"/>
      <x:c r="K94" s="448"/>
    </x:row>
    <x:row r="95" ht="25" customHeight="1">
      <x:c r="A95" s="448"/>
      <x:c r="B95" s="471" t="str">
        <x:v>FINANCE_RECON_HOURS</x:v>
      </x:c>
      <x:c r="C95" s="471" t="str">
        <x:v>Finance and reconciliation hours</x:v>
      </x:c>
      <x:c r="D95" s="471" t="str">
        <x:v>hours</x:v>
      </x:c>
      <x:c r="E95" s="479" t="n">
        <x:f>E25</x:f>
        <x:v>1</x:v>
      </x:c>
      <x:c r="F95" s="479" t="n">
        <x:f>F25</x:f>
        <x:v>1</x:v>
      </x:c>
      <x:c r="G95" s="471" t="str">
        <x:v>Operating assumption</x:v>
      </x:c>
      <x:c r="H95" s="471"/>
      <x:c r="I95" s="471"/>
      <x:c r="J95" s="471"/>
      <x:c r="K95" s="448"/>
    </x:row>
    <x:row r="96" ht="25" customHeight="1">
      <x:c r="A96" s="448"/>
      <x:c r="B96" s="465" t="str">
        <x:v>COMPLAINTS</x:v>
      </x:c>
      <x:c r="C96" s="465" t="str">
        <x:v>Complaint cases</x:v>
      </x:c>
      <x:c r="D96" s="465" t="str">
        <x:v>cases</x:v>
      </x:c>
      <x:c r="E96" s="478" t="n">
        <x:f>E31</x:f>
        <x:v>0.1</x:v>
      </x:c>
      <x:c r="F96" s="478" t="n">
        <x:f>F31</x:f>
        <x:v>0.1</x:v>
      </x:c>
      <x:c r="G96" s="465" t="str">
        <x:v>Operating assumption</x:v>
      </x:c>
      <x:c r="H96" s="465"/>
      <x:c r="I96" s="465"/>
      <x:c r="J96" s="465"/>
      <x:c r="K96" s="448"/>
    </x:row>
    <x:row r="97" ht="25" customHeight="1">
      <x:c r="A97" s="448"/>
      <x:c r="B97" s="471" t="str">
        <x:v>COMPLAINT_OPS_HOURS</x:v>
      </x:c>
      <x:c r="C97" s="471" t="str">
        <x:v>Complaint operations hours</x:v>
      </x:c>
      <x:c r="D97" s="471" t="str">
        <x:v>hours</x:v>
      </x:c>
      <x:c r="E97" s="479" t="n">
        <x:f>E96</x:f>
        <x:v>0.1</x:v>
      </x:c>
      <x:c r="F97" s="479" t="n">
        <x:f>F96</x:f>
        <x:v>0.1</x:v>
      </x:c>
      <x:c r="G97" s="471" t="str">
        <x:v>One hour per complaint</x:v>
      </x:c>
      <x:c r="H97" s="471"/>
      <x:c r="I97" s="471"/>
      <x:c r="J97" s="471"/>
      <x:c r="K97" s="448"/>
    </x:row>
    <x:row r="98" ht="25" customHeight="1">
      <x:c r="A98" s="448"/>
      <x:c r="B98" s="465" t="str">
        <x:v>PROGRAMS</x:v>
      </x:c>
      <x:c r="C98" s="465" t="str">
        <x:v>Active programs</x:v>
      </x:c>
      <x:c r="D98" s="465" t="str">
        <x:v>programs</x:v>
      </x:c>
      <x:c r="E98" s="478" t="n">
        <x:f>1</x:f>
        <x:v>1</x:v>
      </x:c>
      <x:c r="F98" s="478" t="n">
        <x:f>1</x:f>
        <x:v>1</x:v>
      </x:c>
      <x:c r="G98" s="465" t="str">
        <x:v>One modeled program</x:v>
      </x:c>
      <x:c r="H98" s="465"/>
      <x:c r="I98" s="465"/>
      <x:c r="J98" s="465"/>
      <x:c r="K98" s="448"/>
    </x:row>
    <x:row r="99" ht="25" customHeight="1">
      <x:c r="A99" s="448"/>
      <x:c r="B99" s="471" t="str">
        <x:v>ACTIVE_MONTHS</x:v>
      </x:c>
      <x:c r="C99" s="471" t="str">
        <x:v>Active months</x:v>
      </x:c>
      <x:c r="D99" s="471" t="str">
        <x:v>months</x:v>
      </x:c>
      <x:c r="E99" s="479" t="n">
        <x:f>12</x:f>
        <x:v>12</x:v>
      </x:c>
      <x:c r="F99" s="479" t="n">
        <x:f>12</x:f>
        <x:v>12</x:v>
      </x:c>
      <x:c r="G99" s="471" t="str">
        <x:v>One full year</x:v>
      </x:c>
      <x:c r="H99" s="471"/>
      <x:c r="I99" s="471"/>
      <x:c r="J99" s="471"/>
      <x:c r="K99" s="448"/>
    </x:row>
    <x:row r="100" ht="25" customHeight="1">
      <x:c r="A100" s="448"/>
      <x:c r="B100" s="465" t="str">
        <x:v>INTERNAL_USER_MONTHS</x:v>
      </x:c>
      <x:c r="C100" s="465" t="str">
        <x:v>Internal operating user months</x:v>
      </x:c>
      <x:c r="D100" s="465" t="str">
        <x:v>user-months</x:v>
      </x:c>
      <x:c r="E100" s="478" t="n">
        <x:f>E38*12</x:f>
        <x:v>60</x:v>
      </x:c>
      <x:c r="F100" s="478" t="n">
        <x:f>F38*12</x:f>
        <x:v>60</x:v>
      </x:c>
      <x:c r="G100" s="465" t="str">
        <x:v>Internal users × 12</x:v>
      </x:c>
      <x:c r="H100" s="465"/>
      <x:c r="I100" s="465"/>
      <x:c r="J100" s="465"/>
      <x:c r="K100" s="448"/>
    </x:row>
    <x:row r="101" ht="25" customHeight="1">
      <x:c r="A101" s="448"/>
      <x:c r="B101" s="471" t="str">
        <x:v>PARTNER_MEMBERS</x:v>
      </x:c>
      <x:c r="C101" s="471" t="str">
        <x:v>Partner-program members</x:v>
      </x:c>
      <x:c r="D101" s="471" t="str">
        <x:v>members</x:v>
      </x:c>
      <x:c r="E101" s="479" t="n">
        <x:f>E39</x:f>
        <x:v>0</x:v>
      </x:c>
      <x:c r="F101" s="479" t="n">
        <x:f>F39</x:f>
        <x:v>0</x:v>
      </x:c>
      <x:c r="G101" s="471" t="str">
        <x:v>Future program</x:v>
      </x:c>
      <x:c r="H101" s="471"/>
      <x:c r="I101" s="471"/>
      <x:c r="J101" s="471"/>
      <x:c r="K101" s="448"/>
    </x:row>
    <x:row r="102" ht="25" customHeight="1">
      <x:c r="A102" s="448"/>
      <x:c r="B102" s="465" t="str">
        <x:v>PARTNER_PROVIDER_FEES_$</x:v>
      </x:c>
      <x:c r="C102" s="465" t="str">
        <x:v>Partner provider-fee revenue</x:v>
      </x:c>
      <x:c r="D102" s="465" t="str">
        <x:v>USD</x:v>
      </x:c>
      <x:c r="E102" s="480" t="n">
        <x:f>E40</x:f>
        <x:v>0</x:v>
      </x:c>
      <x:c r="F102" s="480" t="n">
        <x:f>F40</x:f>
        <x:v>0</x:v>
      </x:c>
      <x:c r="G102" s="465" t="str">
        <x:v>Future program</x:v>
      </x:c>
      <x:c r="H102" s="465"/>
      <x:c r="I102" s="465"/>
      <x:c r="J102" s="465"/>
      <x:c r="K102" s="448"/>
    </x:row>
    <x:row r="103" ht="25" customHeight="1">
      <x:c r="A103" s="448"/>
      <x:c r="B103" s="471" t="str">
        <x:v>PARTNER_ISSUER_INCOME_$</x:v>
      </x:c>
      <x:c r="C103" s="471" t="str">
        <x:v>Partner issuer income</x:v>
      </x:c>
      <x:c r="D103" s="471" t="str">
        <x:v>USD</x:v>
      </x:c>
      <x:c r="E103" s="481" t="n">
        <x:f>E41</x:f>
        <x:v>0</x:v>
      </x:c>
      <x:c r="F103" s="481" t="n">
        <x:f>F41</x:f>
        <x:v>0</x:v>
      </x:c>
      <x:c r="G103" s="471" t="str">
        <x:v>Future program</x:v>
      </x:c>
      <x:c r="H103" s="471"/>
      <x:c r="I103" s="471"/>
      <x:c r="J103" s="471"/>
      <x:c r="K103" s="448"/>
    </x:row>
    <x:row r="104" ht="25" customHeight="1">
      <x:c r="A104" s="448"/>
      <x:c r="B104" s="465" t="str">
        <x:v>PARTNER_SUPPORT_HOURS</x:v>
      </x:c>
      <x:c r="C104" s="465" t="str">
        <x:v>Partner support hours</x:v>
      </x:c>
      <x:c r="D104" s="465" t="str">
        <x:v>hours</x:v>
      </x:c>
      <x:c r="E104" s="478" t="n">
        <x:f>E42</x:f>
        <x:v>0</x:v>
      </x:c>
      <x:c r="F104" s="478" t="n">
        <x:f>F42</x:f>
        <x:v>0</x:v>
      </x:c>
      <x:c r="G104" s="465" t="str">
        <x:v>Future program</x:v>
      </x:c>
      <x:c r="H104" s="465"/>
      <x:c r="I104" s="465"/>
      <x:c r="J104" s="465"/>
      <x:c r="K104" s="448"/>
    </x:row>
    <x:row r="105" ht="25" customHeight="1">
      <x:c r="A105" s="448"/>
      <x:c r="B105" s="471" t="str">
        <x:v>PARTNER_PROGRAMS</x:v>
      </x:c>
      <x:c r="C105" s="471" t="str">
        <x:v>Active partner programs</x:v>
      </x:c>
      <x:c r="D105" s="471" t="str">
        <x:v>programs</x:v>
      </x:c>
      <x:c r="E105" s="479" t="n">
        <x:f>IF(OR(E101&gt;0,E102&gt;0,E103&gt;0),1,0)</x:f>
        <x:v>0</x:v>
      </x:c>
      <x:c r="F105" s="479" t="n">
        <x:f>IF(OR(F101&gt;0,F102&gt;0,F103&gt;0),1,0)</x:f>
        <x:v>0</x:v>
      </x:c>
      <x:c r="G105" s="471" t="str">
        <x:v>Future program</x:v>
      </x:c>
      <x:c r="H105" s="471"/>
      <x:c r="I105" s="471"/>
      <x:c r="J105" s="471"/>
      <x:c r="K105" s="448"/>
    </x:row>
    <x:row r="106">
      <x:c r="A106" s="448"/>
      <x:c r="B106" s="448"/>
      <x:c r="C106" s="448"/>
      <x:c r="D106" s="448"/>
      <x:c r="E106" s="448"/>
      <x:c r="F106" s="448"/>
      <x:c r="G106" s="448"/>
      <x:c r="H106" s="448"/>
      <x:c r="I106" s="448"/>
      <x:c r="J106" s="448"/>
      <x:c r="K106" s="448"/>
    </x:row>
    <x:row r="107">
      <x:c r="A107" s="448"/>
      <x:c r="B107" s="448"/>
      <x:c r="C107" s="448"/>
      <x:c r="D107" s="448"/>
      <x:c r="E107" s="448"/>
      <x:c r="F107" s="448"/>
      <x:c r="G107" s="448"/>
      <x:c r="H107" s="448"/>
      <x:c r="I107" s="448"/>
      <x:c r="J107" s="448"/>
      <x:c r="K107" s="448"/>
    </x:row>
    <x:row r="108">
      <x:c r="A108" s="448"/>
      <x:c r="B108" s="448"/>
      <x:c r="C108" s="448"/>
      <x:c r="D108" s="448"/>
      <x:c r="E108" s="448"/>
      <x:c r="F108" s="448"/>
      <x:c r="G108" s="448"/>
      <x:c r="H108" s="448"/>
      <x:c r="I108" s="448"/>
      <x:c r="J108" s="448"/>
      <x:c r="K108" s="448"/>
    </x:row>
    <x:row r="109">
      <x:c r="A109" s="448"/>
      <x:c r="B109" s="448"/>
      <x:c r="C109" s="448"/>
      <x:c r="D109" s="448"/>
      <x:c r="E109" s="448"/>
      <x:c r="F109" s="448"/>
      <x:c r="G109" s="448"/>
      <x:c r="H109" s="448"/>
      <x:c r="I109" s="448"/>
      <x:c r="J109" s="448"/>
      <x:c r="K109" s="448"/>
    </x:row>
    <x:row r="110">
      <x:c r="A110" s="448"/>
      <x:c r="B110" s="448"/>
      <x:c r="C110" s="448"/>
      <x:c r="D110" s="448"/>
      <x:c r="E110" s="448"/>
      <x:c r="F110" s="448"/>
      <x:c r="G110" s="448"/>
      <x:c r="H110" s="448"/>
      <x:c r="I110" s="448"/>
      <x:c r="J110" s="448"/>
      <x:c r="K110" s="448"/>
    </x:row>
  </x:sheetData>
  <x:mergeCells>
    <x:mergeCell ref="B2:J2"/>
    <x:mergeCell ref="B3:J3"/>
    <x:mergeCell ref="B5:J5"/>
    <x:mergeCell ref="B7:J7"/>
    <x:mergeCell ref="B9:C9"/>
    <x:mergeCell ref="G9:J9"/>
    <x:mergeCell ref="B10:C10"/>
    <x:mergeCell ref="G10:J10"/>
    <x:mergeCell ref="B11:C11"/>
    <x:mergeCell ref="G11:J11"/>
    <x:mergeCell ref="B12:C12"/>
    <x:mergeCell ref="G12:J12"/>
    <x:mergeCell ref="B13:C13"/>
    <x:mergeCell ref="G13:J13"/>
    <x:mergeCell ref="B14:C14"/>
    <x:mergeCell ref="G14:J14"/>
    <x:mergeCell ref="B15:C15"/>
    <x:mergeCell ref="G15:J15"/>
    <x:mergeCell ref="B16:C16"/>
    <x:mergeCell ref="G16:J16"/>
    <x:mergeCell ref="B17:C17"/>
    <x:mergeCell ref="G17:J17"/>
    <x:mergeCell ref="B18:C18"/>
    <x:mergeCell ref="G18:J18"/>
    <x:mergeCell ref="B19:C19"/>
    <x:mergeCell ref="G19:J19"/>
    <x:mergeCell ref="B20:C20"/>
    <x:mergeCell ref="G20:J20"/>
    <x:mergeCell ref="B21:C21"/>
    <x:mergeCell ref="G21:J21"/>
    <x:mergeCell ref="B22:C22"/>
    <x:mergeCell ref="G22:J22"/>
    <x:mergeCell ref="B23:C23"/>
    <x:mergeCell ref="G23:J23"/>
    <x:mergeCell ref="B24:C24"/>
    <x:mergeCell ref="G24:J24"/>
    <x:mergeCell ref="B25:C25"/>
    <x:mergeCell ref="G25:J25"/>
    <x:mergeCell ref="B26:C26"/>
    <x:mergeCell ref="G26:J26"/>
    <x:mergeCell ref="B27:C27"/>
    <x:mergeCell ref="G27:J27"/>
    <x:mergeCell ref="B28:C28"/>
    <x:mergeCell ref="G28:J28"/>
    <x:mergeCell ref="B29:C29"/>
    <x:mergeCell ref="G29:J29"/>
    <x:mergeCell ref="B30:C30"/>
    <x:mergeCell ref="G30:J30"/>
    <x:mergeCell ref="B31:C31"/>
    <x:mergeCell ref="G31:J31"/>
    <x:mergeCell ref="B32:C32"/>
    <x:mergeCell ref="G32:J32"/>
    <x:mergeCell ref="B33:C33"/>
    <x:mergeCell ref="G33:J33"/>
    <x:mergeCell ref="B34:C34"/>
    <x:mergeCell ref="G34:J34"/>
    <x:mergeCell ref="B35:C35"/>
    <x:mergeCell ref="G35:J35"/>
    <x:mergeCell ref="B36:C36"/>
    <x:mergeCell ref="G36:J36"/>
    <x:mergeCell ref="B37:C37"/>
    <x:mergeCell ref="G37:J37"/>
    <x:mergeCell ref="B38:C38"/>
    <x:mergeCell ref="G38:J38"/>
    <x:mergeCell ref="B39:C39"/>
    <x:mergeCell ref="G39:J39"/>
    <x:mergeCell ref="B40:C40"/>
    <x:mergeCell ref="G40:J40"/>
    <x:mergeCell ref="B41:C41"/>
    <x:mergeCell ref="G41:J41"/>
    <x:mergeCell ref="B42:C42"/>
    <x:mergeCell ref="G42:J42"/>
    <x:mergeCell ref="B46:J46"/>
    <x:mergeCell ref="G48:J48"/>
    <x:mergeCell ref="G49:J49"/>
    <x:mergeCell ref="G50:J50"/>
    <x:mergeCell ref="G51:J51"/>
    <x:mergeCell ref="G52:J52"/>
    <x:mergeCell ref="G53:J53"/>
    <x:mergeCell ref="G54:J54"/>
    <x:mergeCell ref="G55:J55"/>
    <x:mergeCell ref="G56:J56"/>
    <x:mergeCell ref="G57:J57"/>
    <x:mergeCell ref="G58:J58"/>
    <x:mergeCell ref="G59:J59"/>
    <x:mergeCell ref="G60:J60"/>
    <x:mergeCell ref="G61:J61"/>
    <x:mergeCell ref="G62:J62"/>
    <x:mergeCell ref="G63:J63"/>
    <x:mergeCell ref="G64:J64"/>
    <x:mergeCell ref="G65:J65"/>
    <x:mergeCell ref="G66:J66"/>
    <x:mergeCell ref="G67:J67"/>
    <x:mergeCell ref="G68:J68"/>
    <x:mergeCell ref="G69:J69"/>
    <x:mergeCell ref="G70:J70"/>
    <x:mergeCell ref="G71:J71"/>
    <x:mergeCell ref="G72:J72"/>
    <x:mergeCell ref="G73:J73"/>
    <x:mergeCell ref="G74:J74"/>
    <x:mergeCell ref="G75:J75"/>
    <x:mergeCell ref="G76:J76"/>
    <x:mergeCell ref="G77:J77"/>
    <x:mergeCell ref="G78:J78"/>
    <x:mergeCell ref="G79:J79"/>
    <x:mergeCell ref="G80:J80"/>
    <x:mergeCell ref="G81:J81"/>
    <x:mergeCell ref="G82:J82"/>
    <x:mergeCell ref="G83:J83"/>
    <x:mergeCell ref="G84:J84"/>
    <x:mergeCell ref="G85:J85"/>
    <x:mergeCell ref="G86:J86"/>
    <x:mergeCell ref="G87:J87"/>
    <x:mergeCell ref="G88:J88"/>
    <x:mergeCell ref="G89:J89"/>
    <x:mergeCell ref="G90:J90"/>
    <x:mergeCell ref="G91:J91"/>
    <x:mergeCell ref="G92:J92"/>
    <x:mergeCell ref="G93:J93"/>
    <x:mergeCell ref="G94:J94"/>
    <x:mergeCell ref="G95:J95"/>
    <x:mergeCell ref="G96:J96"/>
    <x:mergeCell ref="G97:J97"/>
    <x:mergeCell ref="G98:J98"/>
    <x:mergeCell ref="G99:J99"/>
    <x:mergeCell ref="G100:J100"/>
    <x:mergeCell ref="G101:J101"/>
    <x:mergeCell ref="G102:J102"/>
    <x:mergeCell ref="G103:J103"/>
    <x:mergeCell ref="G104:J104"/>
    <x:mergeCell ref="G105:J105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" hidden="0" customWidth="1"/>
    <x:col min="2" max="2" width="12" hidden="0" customWidth="1"/>
    <x:col min="3" max="3" width="20" hidden="0" customWidth="1"/>
    <x:col min="4" max="4" width="13" hidden="0" customWidth="1"/>
    <x:col min="5" max="5" width="20" hidden="0" customWidth="1"/>
    <x:col min="6" max="6" width="19" hidden="0" customWidth="1"/>
    <x:col min="7" max="7" width="14" hidden="0" customWidth="1"/>
    <x:col min="8" max="8" width="22" hidden="0" customWidth="1"/>
    <x:col min="9" max="9" width="27" hidden="0" customWidth="1"/>
    <x:col min="10" max="10" width="22" hidden="0" customWidth="1"/>
    <x:col min="11" max="11" width="23" hidden="0" customWidth="1"/>
    <x:col min="12" max="12" width="16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6" hidden="0" customWidth="1"/>
    <x:col min="18" max="18" width="16" hidden="0" customWidth="1"/>
    <x:col min="19" max="19" width="10" hidden="0" customWidth="1"/>
    <x:col min="20" max="20" width="13" hidden="0" customWidth="1"/>
    <x:col min="21" max="21" width="34" hidden="0" customWidth="1"/>
    <x:col min="22" max="22" width="40" hidden="0" customWidth="1"/>
  </x:cols>
  <x:sheetData>
    <x:row r="1">
      <x:c r="A1" s="448"/>
      <x:c r="B1" s="448"/>
      <x:c r="C1" s="448"/>
      <x:c r="D1" s="448"/>
      <x:c r="E1" s="448"/>
      <x:c r="F1" s="448"/>
      <x:c r="G1" s="448"/>
      <x:c r="H1" s="448"/>
      <x:c r="I1" s="448"/>
      <x:c r="J1" s="448"/>
      <x:c r="K1" s="448"/>
      <x:c r="L1" s="448"/>
      <x:c r="M1" s="448"/>
      <x:c r="N1" s="448"/>
      <x:c r="O1" s="448"/>
      <x:c r="P1" s="448"/>
      <x:c r="Q1" s="448"/>
      <x:c r="R1" s="448"/>
      <x:c r="S1" s="448"/>
      <x:c r="T1" s="448"/>
      <x:c r="U1" s="448"/>
      <x:c r="V1" s="448"/>
    </x:row>
    <x:row r="2" ht="32" customHeight="1">
      <x:c r="A2" s="448"/>
      <x:c r="B2" s="451" t="str">
        <x:v>Rate Cards</x:v>
      </x:c>
      <x:c r="C2" s="451"/>
      <x:c r="D2" s="451"/>
      <x:c r="E2" s="451"/>
      <x:c r="F2" s="451"/>
      <x:c r="G2" s="451"/>
      <x:c r="H2" s="451"/>
      <x:c r="I2" s="451"/>
      <x:c r="J2" s="451"/>
      <x:c r="K2" s="451"/>
      <x:c r="L2" s="451"/>
      <x:c r="M2" s="451"/>
      <x:c r="N2" s="451"/>
      <x:c r="O2" s="451"/>
      <x:c r="P2" s="451"/>
      <x:c r="Q2" s="451"/>
      <x:c r="R2" s="451"/>
      <x:c r="S2" s="451"/>
      <x:c r="T2" s="451"/>
      <x:c r="U2" s="451"/>
      <x:c r="V2" s="451"/>
    </x:row>
    <x:row r="3" ht="24" customHeight="1">
      <x:c r="A3" s="448"/>
      <x:c r="B3" s="454" t="str">
        <x:v>Contract-style cost elements connected to operating activity drivers.</x:v>
      </x:c>
      <x:c r="C3" s="454"/>
      <x:c r="D3" s="454"/>
      <x:c r="E3" s="454"/>
      <x:c r="F3" s="454"/>
      <x:c r="G3" s="454"/>
      <x:c r="H3" s="454"/>
      <x:c r="I3" s="454"/>
      <x:c r="J3" s="454"/>
      <x:c r="K3" s="454"/>
      <x:c r="L3" s="454"/>
      <x:c r="M3" s="454"/>
      <x:c r="N3" s="454"/>
      <x:c r="O3" s="454"/>
      <x:c r="P3" s="454"/>
      <x:c r="Q3" s="454"/>
      <x:c r="R3" s="454"/>
      <x:c r="S3" s="454"/>
      <x:c r="T3" s="454"/>
      <x:c r="U3" s="454"/>
      <x:c r="V3" s="454"/>
    </x:row>
    <x:row r="4">
      <x:c r="A4" s="448"/>
      <x:c r="B4" s="448"/>
      <x:c r="C4" s="448"/>
      <x:c r="D4" s="448"/>
      <x:c r="E4" s="448"/>
      <x:c r="F4" s="448"/>
      <x:c r="G4" s="448"/>
      <x:c r="H4" s="448"/>
      <x:c r="I4" s="448"/>
      <x:c r="J4" s="448"/>
      <x:c r="K4" s="448"/>
      <x:c r="L4" s="448"/>
      <x:c r="M4" s="448"/>
      <x:c r="N4" s="448"/>
      <x:c r="O4" s="448"/>
      <x:c r="P4" s="448"/>
      <x:c r="Q4" s="448"/>
      <x:c r="R4" s="448"/>
      <x:c r="S4" s="448"/>
      <x:c r="T4" s="448"/>
      <x:c r="U4" s="448"/>
      <x:c r="V4" s="448"/>
    </x:row>
    <x:row r="5" ht="31" customHeight="1">
      <x:c r="A5" s="448"/>
      <x:c r="B5" s="456" t="str">
        <x:v>Select the model basis on Cost Center. The model uses Planning, Contracted or Actual rates without mixing them. Optional and future costs are pre-built and disabled until activated.</x:v>
      </x:c>
      <x:c r="C5" s="456"/>
      <x:c r="D5" s="456"/>
      <x:c r="E5" s="456"/>
      <x:c r="F5" s="456"/>
      <x:c r="G5" s="456"/>
      <x:c r="H5" s="456"/>
      <x:c r="I5" s="456"/>
      <x:c r="J5" s="456"/>
      <x:c r="K5" s="456"/>
      <x:c r="L5" s="456"/>
      <x:c r="M5" s="456"/>
      <x:c r="N5" s="456"/>
      <x:c r="O5" s="456"/>
      <x:c r="P5" s="456"/>
      <x:c r="Q5" s="456"/>
      <x:c r="R5" s="456"/>
      <x:c r="S5" s="456"/>
      <x:c r="T5" s="456"/>
      <x:c r="U5" s="456"/>
      <x:c r="V5" s="456"/>
    </x:row>
    <x:row r="6">
      <x:c r="A6" s="448"/>
      <x:c r="B6" s="448"/>
      <x:c r="C6" s="448"/>
      <x:c r="D6" s="448"/>
      <x:c r="E6" s="448"/>
      <x:c r="F6" s="448"/>
      <x:c r="G6" s="448"/>
      <x:c r="H6" s="448"/>
      <x:c r="I6" s="448"/>
      <x:c r="J6" s="448"/>
      <x:c r="K6" s="448"/>
      <x:c r="L6" s="448"/>
      <x:c r="M6" s="448"/>
      <x:c r="N6" s="448"/>
      <x:c r="O6" s="448"/>
      <x:c r="P6" s="448"/>
      <x:c r="Q6" s="448"/>
      <x:c r="R6" s="448"/>
      <x:c r="S6" s="448"/>
      <x:c r="T6" s="448"/>
      <x:c r="U6" s="448"/>
      <x:c r="V6" s="448"/>
    </x:row>
    <x:row r="7">
      <x:c r="A7" s="448"/>
      <x:c r="B7" s="463" t="str">
        <x:v>COST ID</x:v>
      </x:c>
      <x:c r="C7" s="463" t="str">
        <x:v>COST CENTER</x:v>
      </x:c>
      <x:c r="D7" s="463" t="str">
        <x:v>ENGINE</x:v>
      </x:c>
      <x:c r="E7" s="463" t="str">
        <x:v>VALUE STREAM</x:v>
      </x:c>
      <x:c r="F7" s="463" t="str">
        <x:v>COST GROUP</x:v>
      </x:c>
      <x:c r="G7" s="463" t="str">
        <x:v>WORKSPACE</x:v>
      </x:c>
      <x:c r="H7" s="463" t="str">
        <x:v>SERVICE / OFFERING</x:v>
      </x:c>
      <x:c r="I7" s="463" t="str">
        <x:v>COST ELEMENT</x:v>
      </x:c>
      <x:c r="J7" s="463" t="str">
        <x:v>VENDOR / OWNER</x:v>
      </x:c>
      <x:c r="K7" s="463" t="str">
        <x:v>DRIVER ID</x:v>
      </x:c>
      <x:c r="L7" s="463" t="str">
        <x:v>DRIVER UNIT</x:v>
      </x:c>
      <x:c r="M7" s="463" t="str">
        <x:v>PLANNING RATE</x:v>
      </x:c>
      <x:c r="N7" s="463" t="str">
        <x:v>CONTRACTED RATE</x:v>
      </x:c>
      <x:c r="O7" s="463" t="str">
        <x:v>ACTUAL RATE</x:v>
      </x:c>
      <x:c r="P7" s="463" t="str">
        <x:v>ACTIVE RATE</x:v>
      </x:c>
      <x:c r="Q7" s="463" t="str">
        <x:v>SELECT ANNUAL COST</x:v>
      </x:c>
      <x:c r="R7" s="463" t="str">
        <x:v>PREMIER ANNUAL COST</x:v>
      </x:c>
      <x:c r="S7" s="463" t="str">
        <x:v>ENABLED</x:v>
      </x:c>
      <x:c r="T7" s="463" t="str">
        <x:v>RATE STATUS</x:v>
      </x:c>
      <x:c r="U7" s="463" t="str">
        <x:v>SOURCE URL / BASIS</x:v>
      </x:c>
      <x:c r="V7" s="463" t="str">
        <x:v>NOTES</x:v>
      </x:c>
    </x:row>
    <x:row r="8" ht="42" customHeight="1">
      <x:c r="A8" s="448"/>
      <x:c r="B8" s="464" t="str">
        <x:v>M001</x:v>
      </x:c>
      <x:c r="C8" s="464" t="str">
        <x:v>Membership Ops</x:v>
      </x:c>
      <x:c r="D8" s="464" t="str">
        <x:v>Membership</x:v>
      </x:c>
      <x:c r="E8" s="464" t="str">
        <x:v>Reward &amp; Retain</x:v>
      </x:c>
      <x:c r="F8" s="464" t="str">
        <x:v>Vendor &amp; processing</x:v>
      </x:c>
      <x:c r="G8" s="464" t="str">
        <x:v>Cross-platform</x:v>
      </x:c>
      <x:c r="H8" s="464" t="str">
        <x:v>Select / Premier</x:v>
      </x:c>
      <x:c r="I8" s="464" t="str">
        <x:v>Billing platform fee</x:v>
      </x:c>
      <x:c r="J8" s="464" t="str">
        <x:v>Billing provider</x:v>
      </x:c>
      <x:c r="K8" s="464" t="str">
        <x:v>MEMBERSHIP_REVENUE_$</x:v>
      </x:c>
      <x:c r="L8" s="464" t="str">
        <x:v>USD</x:v>
      </x:c>
      <x:c r="M8" s="486" t="n">
        <x:v>0.007</x:v>
      </x:c>
      <x:c r="N8" s="486"/>
      <x:c r="O8" s="486"/>
      <x:c r="P8" s="488" t="n">
        <x:f>IF($S8="No",0,IF('Cost Center'!$F$5="Planning",IF($M8="",0,$M8),IF('Cost Center'!$F$5="Contracted",IF($N8="",0,$N8),IF($O8="",0,$O8))))</x:f>
        <x:v>0.007</x:v>
      </x:c>
      <x:c r="Q8" s="491" t="n">
        <x:f>IF($S8="No",0,SUMIF('Cost Drivers'!$B$48:$B$105,$K8,'Cost Drivers'!$E$48:$E$105)*$P8)</x:f>
        <x:v>0.84</x:v>
      </x:c>
      <x:c r="R8" s="491" t="n">
        <x:f>IF($S8="No",0,SUMIF('Cost Drivers'!$B$48:$B$105,$K8,'Cost Drivers'!$F$48:$F$105)*$P8)</x:f>
        <x:v>2.1</x:v>
      </x:c>
      <x:c r="S8" s="492" t="str">
        <x:v>Yes</x:v>
      </x:c>
      <x:c r="T8" s="464" t="str">
        <x:f>IF($S8="No","Disabled",IF('Cost Center'!$F$5="Planning",IF($M8="","Missing","Planning"),IF('Cost Center'!$F$5="Contracted",IF($N8="","Missing","Contracted"),IF($O8="","Missing","Actual"))))</x:f>
        <x:v>Planning</x:v>
      </x:c>
      <x:c r="U8" s="464" t="str">
        <x:v>https://stripe.com/billing/pricing</x:v>
      </x:c>
      <x:c r="V8" s="464" t="str">
        <x:v>Public planning benchmark; replace with contracted billing cost.</x:v>
      </x:c>
    </x:row>
    <x:row r="9" ht="42" customHeight="1">
      <x:c r="A9" s="448"/>
      <x:c r="B9" s="470" t="str">
        <x:v>M002</x:v>
      </x:c>
      <x:c r="C9" s="470" t="str">
        <x:v>Membership Ops</x:v>
      </x:c>
      <x:c r="D9" s="470" t="str">
        <x:v>Membership</x:v>
      </x:c>
      <x:c r="E9" s="470" t="str">
        <x:v>Attract &amp; Join</x:v>
      </x:c>
      <x:c r="F9" s="470" t="str">
        <x:v>Vendor &amp; processing</x:v>
      </x:c>
      <x:c r="G9" s="470" t="str">
        <x:v>Cross-platform</x:v>
      </x:c>
      <x:c r="H9" s="470" t="str">
        <x:v>Select / Premier</x:v>
      </x:c>
      <x:c r="I9" s="470" t="str">
        <x:v>Membership payment processing</x:v>
      </x:c>
      <x:c r="J9" s="470" t="str">
        <x:v>Payment processor</x:v>
      </x:c>
      <x:c r="K9" s="470" t="str">
        <x:v>MEMBERSHIP_REVENUE_$</x:v>
      </x:c>
      <x:c r="L9" s="470" t="str">
        <x:v>USD</x:v>
      </x:c>
      <x:c r="M9" s="486" t="n">
        <x:v>0.029</x:v>
      </x:c>
      <x:c r="N9" s="486"/>
      <x:c r="O9" s="486"/>
      <x:c r="P9" s="494" t="n">
        <x:f>IF($S9="No",0,IF('Cost Center'!$F$5="Planning",IF($M9="",0,$M9),IF('Cost Center'!$F$5="Contracted",IF($N9="",0,$N9),IF($O9="",0,$O9))))</x:f>
        <x:v>0.029</x:v>
      </x:c>
      <x:c r="Q9" s="497" t="n">
        <x:f>IF($S9="No",0,SUMIF('Cost Drivers'!$B$48:$B$105,$K9,'Cost Drivers'!$E$48:$E$105)*$P9)</x:f>
        <x:v>3.48</x:v>
      </x:c>
      <x:c r="R9" s="497" t="n">
        <x:f>IF($S9="No",0,SUMIF('Cost Drivers'!$B$48:$B$105,$K9,'Cost Drivers'!$F$48:$F$105)*$P9)</x:f>
        <x:v>8.700000000000001</x:v>
      </x:c>
      <x:c r="S9" s="492" t="str">
        <x:v>Yes</x:v>
      </x:c>
      <x:c r="T9" s="470" t="str">
        <x:f>IF($S9="No","Disabled",IF('Cost Center'!$F$5="Planning",IF($M9="","Missing","Planning"),IF('Cost Center'!$F$5="Contracted",IF($N9="","Missing","Contracted"),IF($O9="","Missing","Actual"))))</x:f>
        <x:v>Planning</x:v>
      </x:c>
      <x:c r="U9" s="470" t="str">
        <x:v>https://stripe.com/pricing</x:v>
      </x:c>
      <x:c r="V9" s="470" t="str">
        <x:v>Public planning benchmark for card collection; may be avoided with balance debit or ACH.</x:v>
      </x:c>
    </x:row>
    <x:row r="10" ht="42" customHeight="1">
      <x:c r="A10" s="448"/>
      <x:c r="B10" s="464" t="str">
        <x:v>M003</x:v>
      </x:c>
      <x:c r="C10" s="464" t="str">
        <x:v>Membership Ops</x:v>
      </x:c>
      <x:c r="D10" s="464" t="str">
        <x:v>Membership</x:v>
      </x:c>
      <x:c r="E10" s="464" t="str">
        <x:v>Attract &amp; Join</x:v>
      </x:c>
      <x:c r="F10" s="464" t="str">
        <x:v>Vendor &amp; processing</x:v>
      </x:c>
      <x:c r="G10" s="464" t="str">
        <x:v>Cross-platform</x:v>
      </x:c>
      <x:c r="H10" s="464" t="str">
        <x:v>Select / Premier</x:v>
      </x:c>
      <x:c r="I10" s="464" t="str">
        <x:v>Membership payment fixed fee</x:v>
      </x:c>
      <x:c r="J10" s="464" t="str">
        <x:v>Payment processor</x:v>
      </x:c>
      <x:c r="K10" s="464" t="str">
        <x:v>RENEWAL_EVENTS</x:v>
      </x:c>
      <x:c r="L10" s="464" t="str">
        <x:v>events</x:v>
      </x:c>
      <x:c r="M10" s="485" t="n">
        <x:v>0.3</x:v>
      </x:c>
      <x:c r="N10" s="485"/>
      <x:c r="O10" s="485"/>
      <x:c r="P10" s="499" t="n">
        <x:f>IF($S10="No",0,IF('Cost Center'!$F$5="Planning",IF($M10="",0,$M10),IF('Cost Center'!$F$5="Contracted",IF($N10="",0,$N10),IF($O10="",0,$O10))))</x:f>
        <x:v>0.3</x:v>
      </x:c>
      <x:c r="Q10" s="491" t="n">
        <x:f>IF($S10="No",0,SUMIF('Cost Drivers'!$B$48:$B$105,$K10,'Cost Drivers'!$E$48:$E$105)*$P10)</x:f>
        <x:v>0.3</x:v>
      </x:c>
      <x:c r="R10" s="491" t="n">
        <x:f>IF($S10="No",0,SUMIF('Cost Drivers'!$B$48:$B$105,$K10,'Cost Drivers'!$F$48:$F$105)*$P10)</x:f>
        <x:v>0.3</x:v>
      </x:c>
      <x:c r="S10" s="492" t="str">
        <x:v>Yes</x:v>
      </x:c>
      <x:c r="T10" s="464" t="str">
        <x:f>IF($S10="No","Disabled",IF('Cost Center'!$F$5="Planning",IF($M10="","Missing","Planning"),IF('Cost Center'!$F$5="Contracted",IF($N10="","Missing","Contracted"),IF($O10="","Missing","Actual"))))</x:f>
        <x:v>Planning</x:v>
      </x:c>
      <x:c r="U10" s="464" t="str">
        <x:v>https://stripe.com/pricing</x:v>
      </x:c>
      <x:c r="V10" s="464" t="str">
        <x:v>Public planning benchmark; one annual billing event.</x:v>
      </x:c>
    </x:row>
    <x:row r="11" ht="42" customHeight="1">
      <x:c r="A11" s="448"/>
      <x:c r="B11" s="470" t="str">
        <x:v>M004</x:v>
      </x:c>
      <x:c r="C11" s="470" t="str">
        <x:v>Membership Ops</x:v>
      </x:c>
      <x:c r="D11" s="470" t="str">
        <x:v>Membership</x:v>
      </x:c>
      <x:c r="E11" s="470" t="str">
        <x:v>Reward &amp; Retain</x:v>
      </x:c>
      <x:c r="F11" s="470" t="str">
        <x:v>Membership benefits</x:v>
      </x:c>
      <x:c r="G11" s="470" t="str">
        <x:v>Cross-platform</x:v>
      </x:c>
      <x:c r="H11" s="470" t="str">
        <x:v>Select / Premier</x:v>
      </x:c>
      <x:c r="I11" s="470" t="str">
        <x:v>Membership refund reserve</x:v>
      </x:c>
      <x:c r="J11" s="470" t="str">
        <x:v>Management estimate</x:v>
      </x:c>
      <x:c r="K11" s="470" t="str">
        <x:v>MEMBERSHIP_REVENUE_$</x:v>
      </x:c>
      <x:c r="L11" s="470" t="str">
        <x:v>USD</x:v>
      </x:c>
      <x:c r="M11" s="486" t="n">
        <x:v>0.01</x:v>
      </x:c>
      <x:c r="N11" s="486"/>
      <x:c r="O11" s="486"/>
      <x:c r="P11" s="494" t="n">
        <x:f>IF($S11="No",0,IF('Cost Center'!$F$5="Planning",IF($M11="",0,$M11),IF('Cost Center'!$F$5="Contracted",IF($N11="",0,$N11),IF($O11="",0,$O11))))</x:f>
        <x:v>0.01</x:v>
      </x:c>
      <x:c r="Q11" s="497" t="n">
        <x:f>IF($S11="No",0,SUMIF('Cost Drivers'!$B$48:$B$105,$K11,'Cost Drivers'!$E$48:$E$105)*$P11)</x:f>
        <x:v>1.2</x:v>
      </x:c>
      <x:c r="R11" s="497" t="n">
        <x:f>IF($S11="No",0,SUMIF('Cost Drivers'!$B$48:$B$105,$K11,'Cost Drivers'!$F$48:$F$105)*$P11)</x:f>
        <x:v>3</x:v>
      </x:c>
      <x:c r="S11" s="492" t="str">
        <x:v>Yes</x:v>
      </x:c>
      <x:c r="T11" s="470" t="str">
        <x:f>IF($S11="No","Disabled",IF('Cost Center'!$F$5="Planning",IF($M11="","Missing","Planning"),IF('Cost Center'!$F$5="Contracted",IF($N11="","Missing","Contracted"),IF($O11="","Missing","Actual"))))</x:f>
        <x:v>Planning</x:v>
      </x:c>
      <x:c r="U11" s="470" t="str">
        <x:v>Internal planning assumption</x:v>
      </x:c>
      <x:c r="V11" s="470" t="str">
        <x:v>Reserve for satisfaction refunds; replace with observed rate.</x:v>
      </x:c>
    </x:row>
    <x:row r="12" ht="42" customHeight="1">
      <x:c r="A12" s="448"/>
      <x:c r="B12" s="464" t="str">
        <x:v>M005</x:v>
      </x:c>
      <x:c r="C12" s="464" t="str">
        <x:v>Customer Service</x:v>
      </x:c>
      <x:c r="D12" s="464" t="str">
        <x:v>Membership</x:v>
      </x:c>
      <x:c r="E12" s="464" t="str">
        <x:v>Serve &amp; Protect</x:v>
      </x:c>
      <x:c r="F12" s="464" t="str">
        <x:v>Labor &amp; support</x:v>
      </x:c>
      <x:c r="G12" s="464" t="str">
        <x:v>Cross-platform</x:v>
      </x:c>
      <x:c r="H12" s="464" t="str">
        <x:v>Member support</x:v>
      </x:c>
      <x:c r="I12" s="464" t="str">
        <x:v>Member support labor</x:v>
      </x:c>
      <x:c r="J12" s="464" t="str">
        <x:v>Internal team</x:v>
      </x:c>
      <x:c r="K12" s="464" t="str">
        <x:v>MEMBER_SUPPORT_HOURS</x:v>
      </x:c>
      <x:c r="L12" s="464" t="str">
        <x:v>hours</x:v>
      </x:c>
      <x:c r="M12" s="485" t="n">
        <x:v>30</x:v>
      </x:c>
      <x:c r="N12" s="485"/>
      <x:c r="O12" s="485"/>
      <x:c r="P12" s="499" t="n">
        <x:f>IF($S12="No",0,IF('Cost Center'!$F$5="Planning",IF($M12="",0,$M12),IF('Cost Center'!$F$5="Contracted",IF($N12="",0,$N12),IF($O12="",0,$O12))))</x:f>
        <x:v>30</x:v>
      </x:c>
      <x:c r="Q12" s="491" t="n">
        <x:f>IF($S12="No",0,SUMIF('Cost Drivers'!$B$48:$B$105,$K12,'Cost Drivers'!$E$48:$E$105)*$P12)</x:f>
        <x:v>5.999999999999999</x:v>
      </x:c>
      <x:c r="R12" s="491" t="n">
        <x:f>IF($S12="No",0,SUMIF('Cost Drivers'!$B$48:$B$105,$K12,'Cost Drivers'!$F$48:$F$105)*$P12)</x:f>
        <x:v>7.5</x:v>
      </x:c>
      <x:c r="S12" s="492" t="str">
        <x:v>Yes</x:v>
      </x:c>
      <x:c r="T12" s="464" t="str">
        <x:f>IF($S12="No","Disabled",IF('Cost Center'!$F$5="Planning",IF($M12="","Missing","Planning"),IF('Cost Center'!$F$5="Contracted",IF($N12="","Missing","Contracted"),IF($O12="","Missing","Actual"))))</x:f>
        <x:v>Planning</x:v>
      </x:c>
      <x:c r="U12" s="464" t="str">
        <x:v>Internal planning assumption</x:v>
      </x:c>
      <x:c r="V12" s="464" t="str">
        <x:v>Illustrative loaded labor rate.</x:v>
      </x:c>
    </x:row>
    <x:row r="13" ht="42" customHeight="1">
      <x:c r="A13" s="448"/>
      <x:c r="B13" s="470" t="str">
        <x:v>M006</x:v>
      </x:c>
      <x:c r="C13" s="470" t="str">
        <x:v>Customer Service</x:v>
      </x:c>
      <x:c r="D13" s="470" t="str">
        <x:v>Membership</x:v>
      </x:c>
      <x:c r="E13" s="470" t="str">
        <x:v>Serve &amp; Protect</x:v>
      </x:c>
      <x:c r="F13" s="470" t="str">
        <x:v>Labor &amp; support</x:v>
      </x:c>
      <x:c r="G13" s="470" t="str">
        <x:v>Household</x:v>
      </x:c>
      <x:c r="H13" s="470" t="str">
        <x:v>Household access</x:v>
      </x:c>
      <x:c r="I13" s="470" t="str">
        <x:v>Household participant servicing</x:v>
      </x:c>
      <x:c r="J13" s="470" t="str">
        <x:v>Internal team</x:v>
      </x:c>
      <x:c r="K13" s="470" t="str">
        <x:v>HOUSEHOLD_PARTICIPANT_MONTHS</x:v>
      </x:c>
      <x:c r="L13" s="470" t="str">
        <x:v>participant-months</x:v>
      </x:c>
      <x:c r="M13" s="485" t="n">
        <x:v>0.5</x:v>
      </x:c>
      <x:c r="N13" s="485"/>
      <x:c r="O13" s="485"/>
      <x:c r="P13" s="501" t="n">
        <x:f>IF($S13="No",0,IF('Cost Center'!$F$5="Planning",IF($M13="",0,$M13),IF('Cost Center'!$F$5="Contracted",IF($N13="",0,$N13),IF($O13="",0,$O13))))</x:f>
        <x:v>0.5</x:v>
      </x:c>
      <x:c r="Q13" s="497" t="n">
        <x:f>IF($S13="No",0,SUMIF('Cost Drivers'!$B$48:$B$105,$K13,'Cost Drivers'!$E$48:$E$105)*$P13)</x:f>
        <x:v>12</x:v>
      </x:c>
      <x:c r="R13" s="497" t="n">
        <x:f>IF($S13="No",0,SUMIF('Cost Drivers'!$B$48:$B$105,$K13,'Cost Drivers'!$F$48:$F$105)*$P13)</x:f>
        <x:v>12</x:v>
      </x:c>
      <x:c r="S13" s="492" t="str">
        <x:v>Yes</x:v>
      </x:c>
      <x:c r="T13" s="470" t="str">
        <x:f>IF($S13="No","Disabled",IF('Cost Center'!$F$5="Planning",IF($M13="","Missing","Planning"),IF('Cost Center'!$F$5="Contracted",IF($N13="","Missing","Contracted"),IF($O13="","Missing","Actual"))))</x:f>
        <x:v>Planning</x:v>
      </x:c>
      <x:c r="U13" s="470" t="str">
        <x:v>Internal planning assumption</x:v>
      </x:c>
      <x:c r="V13" s="470" t="str">
        <x:v>Per participant-month servicing allowance.</x:v>
      </x:c>
    </x:row>
    <x:row r="14" ht="42" customHeight="1">
      <x:c r="A14" s="448"/>
      <x:c r="B14" s="464" t="str">
        <x:v>M007</x:v>
      </x:c>
      <x:c r="C14" s="464" t="str">
        <x:v>Technology &amp; Data</x:v>
      </x:c>
      <x:c r="D14" s="464" t="str">
        <x:v>Membership</x:v>
      </x:c>
      <x:c r="E14" s="464" t="str">
        <x:v>Use</x:v>
      </x:c>
      <x:c r="F14" s="464" t="str">
        <x:v>Technology &amp; data</x:v>
      </x:c>
      <x:c r="G14" s="464" t="str">
        <x:v>Cross-platform</x:v>
      </x:c>
      <x:c r="H14" s="464" t="str">
        <x:v>Core platform</x:v>
      </x:c>
      <x:c r="I14" s="464" t="str">
        <x:v>Platform and cloud cost</x:v>
      </x:c>
      <x:c r="J14" s="464" t="str">
        <x:v>Cloud / platform vendors</x:v>
      </x:c>
      <x:c r="K14" s="464" t="str">
        <x:v>MEMBER_MONTHS</x:v>
      </x:c>
      <x:c r="L14" s="464" t="str">
        <x:v>member-months</x:v>
      </x:c>
      <x:c r="M14" s="485" t="n">
        <x:v>1.5</x:v>
      </x:c>
      <x:c r="N14" s="485"/>
      <x:c r="O14" s="485"/>
      <x:c r="P14" s="499" t="n">
        <x:f>IF($S14="No",0,IF('Cost Center'!$F$5="Planning",IF($M14="",0,$M14),IF('Cost Center'!$F$5="Contracted",IF($N14="",0,$N14),IF($O14="",0,$O14))))</x:f>
        <x:v>1.5</x:v>
      </x:c>
      <x:c r="Q14" s="491" t="n">
        <x:f>IF($S14="No",0,SUMIF('Cost Drivers'!$B$48:$B$105,$K14,'Cost Drivers'!$E$48:$E$105)*$P14)</x:f>
        <x:v>18</x:v>
      </x:c>
      <x:c r="R14" s="491" t="n">
        <x:f>IF($S14="No",0,SUMIF('Cost Drivers'!$B$48:$B$105,$K14,'Cost Drivers'!$F$48:$F$105)*$P14)</x:f>
        <x:v>18</x:v>
      </x:c>
      <x:c r="S14" s="492" t="str">
        <x:v>Yes</x:v>
      </x:c>
      <x:c r="T14" s="464" t="str">
        <x:f>IF($S14="No","Disabled",IF('Cost Center'!$F$5="Planning",IF($M14="","Missing","Planning"),IF('Cost Center'!$F$5="Contracted",IF($N14="","Missing","Contracted"),IF($O14="","Missing","Actual"))))</x:f>
        <x:v>Planning</x:v>
      </x:c>
      <x:c r="U14" s="464" t="str">
        <x:v>Internal planning assumption</x:v>
      </x:c>
      <x:c r="V14" s="464" t="str">
        <x:v>Shared product infrastructure per active membership.</x:v>
      </x:c>
    </x:row>
    <x:row r="15" ht="42" customHeight="1">
      <x:c r="A15" s="448"/>
      <x:c r="B15" s="470" t="str">
        <x:v>M008</x:v>
      </x:c>
      <x:c r="C15" s="470" t="str">
        <x:v>Growth &amp; Retention</x:v>
      </x:c>
      <x:c r="D15" s="470" t="str">
        <x:v>Membership</x:v>
      </x:c>
      <x:c r="E15" s="470" t="str">
        <x:v>Reward &amp; Retain</x:v>
      </x:c>
      <x:c r="F15" s="470" t="str">
        <x:v>Labor &amp; support</x:v>
      </x:c>
      <x:c r="G15" s="470" t="str">
        <x:v>Cross-platform</x:v>
      </x:c>
      <x:c r="H15" s="470" t="str">
        <x:v>Renewal</x:v>
      </x:c>
      <x:c r="I15" s="470" t="str">
        <x:v>Renewal communication</x:v>
      </x:c>
      <x:c r="J15" s="470" t="str">
        <x:v>CRM / communications</x:v>
      </x:c>
      <x:c r="K15" s="470" t="str">
        <x:v>RENEWAL_EVENTS</x:v>
      </x:c>
      <x:c r="L15" s="470" t="str">
        <x:v>events</x:v>
      </x:c>
      <x:c r="M15" s="485" t="n">
        <x:v>1</x:v>
      </x:c>
      <x:c r="N15" s="485"/>
      <x:c r="O15" s="485"/>
      <x:c r="P15" s="501" t="n">
        <x:f>IF($S15="No",0,IF('Cost Center'!$F$5="Planning",IF($M15="",0,$M15),IF('Cost Center'!$F$5="Contracted",IF($N15="",0,$N15),IF($O15="",0,$O15))))</x:f>
        <x:v>1</x:v>
      </x:c>
      <x:c r="Q15" s="497" t="n">
        <x:f>IF($S15="No",0,SUMIF('Cost Drivers'!$B$48:$B$105,$K15,'Cost Drivers'!$E$48:$E$105)*$P15)</x:f>
        <x:v>1</x:v>
      </x:c>
      <x:c r="R15" s="497" t="n">
        <x:f>IF($S15="No",0,SUMIF('Cost Drivers'!$B$48:$B$105,$K15,'Cost Drivers'!$F$48:$F$105)*$P15)</x:f>
        <x:v>1</x:v>
      </x:c>
      <x:c r="S15" s="492" t="str">
        <x:v>Yes</x:v>
      </x:c>
      <x:c r="T15" s="470" t="str">
        <x:f>IF($S15="No","Disabled",IF('Cost Center'!$F$5="Planning",IF($M15="","Missing","Planning"),IF('Cost Center'!$F$5="Contracted",IF($N15="","Missing","Contracted"),IF($O15="","Missing","Actual"))))</x:f>
        <x:v>Planning</x:v>
      </x:c>
      <x:c r="U15" s="470" t="str">
        <x:v>Internal planning assumption</x:v>
      </x:c>
      <x:c r="V15" s="470" t="str">
        <x:v>Email, messaging and lifecycle automation allowance.</x:v>
      </x:c>
    </x:row>
    <x:row r="16" ht="42" customHeight="1">
      <x:c r="A16" s="448"/>
      <x:c r="B16" s="464" t="str">
        <x:v>M009</x:v>
      </x:c>
      <x:c r="C16" s="464" t="str">
        <x:v>Membership Ops</x:v>
      </x:c>
      <x:c r="D16" s="464" t="str">
        <x:v>Membership</x:v>
      </x:c>
      <x:c r="E16" s="464" t="str">
        <x:v>Verify &amp; Activate</x:v>
      </x:c>
      <x:c r="F16" s="464" t="str">
        <x:v>Compliance &amp; legal</x:v>
      </x:c>
      <x:c r="G16" s="464" t="str">
        <x:v>Personal</x:v>
      </x:c>
      <x:c r="H16" s="464" t="str">
        <x:v>Identity verification</x:v>
      </x:c>
      <x:c r="I16" s="464" t="str">
        <x:v>Consumer KYC vendor check</x:v>
      </x:c>
      <x:c r="J16" s="464" t="str">
        <x:v>KYC vendor</x:v>
      </x:c>
      <x:c r="K16" s="464" t="str">
        <x:v>CONSUMER_KYC_CHECKS</x:v>
      </x:c>
      <x:c r="L16" s="464" t="str">
        <x:v>checks</x:v>
      </x:c>
      <x:c r="M16" s="485"/>
      <x:c r="N16" s="485"/>
      <x:c r="O16" s="485"/>
      <x:c r="P16" s="499" t="n">
        <x:f>IF($S16="No",0,IF('Cost Center'!$F$5="Planning",IF($M16="",0,$M16),IF('Cost Center'!$F$5="Contracted",IF($N16="",0,$N16),IF($O16="",0,$O16))))</x:f>
        <x:v>0</x:v>
      </x:c>
      <x:c r="Q16" s="491" t="n">
        <x:f>IF($S16="No",0,SUMIF('Cost Drivers'!$B$48:$B$105,$K16,'Cost Drivers'!$E$48:$E$105)*$P16)</x:f>
        <x:v>0</x:v>
      </x:c>
      <x:c r="R16" s="491" t="n">
        <x:f>IF($S16="No",0,SUMIF('Cost Drivers'!$B$48:$B$105,$K16,'Cost Drivers'!$F$48:$F$105)*$P16)</x:f>
        <x:v>0</x:v>
      </x:c>
      <x:c r="S16" s="492" t="str">
        <x:v>Yes</x:v>
      </x:c>
      <x:c r="T16" s="464" t="str">
        <x:f>IF($S16="No","Disabled",IF('Cost Center'!$F$5="Planning",IF($M16="","Missing","Planning"),IF('Cost Center'!$F$5="Contracted",IF($N16="","Missing","Contracted"),IF($O16="","Missing","Actual"))))</x:f>
        <x:v>Missing</x:v>
      </x:c>
      <x:c r="U16" s="464" t="str">
        <x:v>Contract required</x:v>
      </x:c>
      <x:c r="V16" s="464" t="str">
        <x:v>Enter per-check contracted price.</x:v>
      </x:c>
    </x:row>
    <x:row r="17" ht="42" customHeight="1">
      <x:c r="A17" s="448"/>
      <x:c r="B17" s="470" t="str">
        <x:v>M010</x:v>
      </x:c>
      <x:c r="C17" s="470" t="str">
        <x:v>Growth &amp; Retention</x:v>
      </x:c>
      <x:c r="D17" s="470" t="str">
        <x:v>Membership</x:v>
      </x:c>
      <x:c r="E17" s="470" t="str">
        <x:v>Attract &amp; Join</x:v>
      </x:c>
      <x:c r="F17" s="470" t="str">
        <x:v>Partner &amp; channel</x:v>
      </x:c>
      <x:c r="G17" s="470" t="str">
        <x:v>Cross-platform</x:v>
      </x:c>
      <x:c r="H17" s="470" t="str">
        <x:v>Acquisition</x:v>
      </x:c>
      <x:c r="I17" s="470" t="str">
        <x:v>Customer acquisition cost</x:v>
      </x:c>
      <x:c r="J17" s="470" t="str">
        <x:v>Growth channels</x:v>
      </x:c>
      <x:c r="K17" s="470" t="str">
        <x:v>NEW_MEMBERS</x:v>
      </x:c>
      <x:c r="L17" s="470" t="str">
        <x:v>members</x:v>
      </x:c>
      <x:c r="M17" s="485"/>
      <x:c r="N17" s="485"/>
      <x:c r="O17" s="485"/>
      <x:c r="P17" s="501" t="n">
        <x:f>IF($S17="No",0,IF('Cost Center'!$F$5="Planning",IF($M17="",0,$M17),IF('Cost Center'!$F$5="Contracted",IF($N17="",0,$N17),IF($O17="",0,$O17))))</x:f>
        <x:v>0</x:v>
      </x:c>
      <x:c r="Q17" s="497" t="n">
        <x:f>IF($S17="No",0,SUMIF('Cost Drivers'!$B$48:$B$105,$K17,'Cost Drivers'!$E$48:$E$105)*$P17)</x:f>
        <x:v>0</x:v>
      </x:c>
      <x:c r="R17" s="497" t="n">
        <x:f>IF($S17="No",0,SUMIF('Cost Drivers'!$B$48:$B$105,$K17,'Cost Drivers'!$F$48:$F$105)*$P17)</x:f>
        <x:v>0</x:v>
      </x:c>
      <x:c r="S17" s="492" t="str">
        <x:v>Yes</x:v>
      </x:c>
      <x:c r="T17" s="470" t="str">
        <x:f>IF($S17="No","Disabled",IF('Cost Center'!$F$5="Planning",IF($M17="","Missing","Planning"),IF('Cost Center'!$F$5="Contracted",IF($N17="","Missing","Contracted"),IF($O17="","Missing","Actual"))))</x:f>
        <x:v>Missing</x:v>
      </x:c>
      <x:c r="U17" s="470" t="str">
        <x:v>Management input required</x:v>
      </x:c>
      <x:c r="V17" s="470" t="str">
        <x:v>Use amortized CAC for unit economics or track separately.</x:v>
      </x:c>
    </x:row>
    <x:row r="18" ht="42" customHeight="1">
      <x:c r="A18" s="448"/>
      <x:c r="B18" s="464" t="str">
        <x:v>M011</x:v>
      </x:c>
      <x:c r="C18" s="464" t="str">
        <x:v>Technology &amp; Data</x:v>
      </x:c>
      <x:c r="D18" s="464" t="str">
        <x:v>Membership</x:v>
      </x:c>
      <x:c r="E18" s="464" t="str">
        <x:v>Reward &amp; Retain</x:v>
      </x:c>
      <x:c r="F18" s="464" t="str">
        <x:v>Technology &amp; data</x:v>
      </x:c>
      <x:c r="G18" s="464" t="str">
        <x:v>Cross-platform</x:v>
      </x:c>
      <x:c r="H18" s="464" t="str">
        <x:v>Value statement</x:v>
      </x:c>
      <x:c r="I18" s="464" t="str">
        <x:v>Rewards and value reporting</x:v>
      </x:c>
      <x:c r="J18" s="464" t="str">
        <x:v>Internal platform</x:v>
      </x:c>
      <x:c r="K18" s="464" t="str">
        <x:v>MEMBER_MONTHS</x:v>
      </x:c>
      <x:c r="L18" s="464" t="str">
        <x:v>member-months</x:v>
      </x:c>
      <x:c r="M18" s="485" t="n">
        <x:v>0.25</x:v>
      </x:c>
      <x:c r="N18" s="485"/>
      <x:c r="O18" s="485"/>
      <x:c r="P18" s="499" t="n">
        <x:f>IF($S18="No",0,IF('Cost Center'!$F$5="Planning",IF($M18="",0,$M18),IF('Cost Center'!$F$5="Contracted",IF($N18="",0,$N18),IF($O18="",0,$O18))))</x:f>
        <x:v>0.25</x:v>
      </x:c>
      <x:c r="Q18" s="491" t="n">
        <x:f>IF($S18="No",0,SUMIF('Cost Drivers'!$B$48:$B$105,$K18,'Cost Drivers'!$E$48:$E$105)*$P18)</x:f>
        <x:v>3</x:v>
      </x:c>
      <x:c r="R18" s="491" t="n">
        <x:f>IF($S18="No",0,SUMIF('Cost Drivers'!$B$48:$B$105,$K18,'Cost Drivers'!$F$48:$F$105)*$P18)</x:f>
        <x:v>3</x:v>
      </x:c>
      <x:c r="S18" s="492" t="str">
        <x:v>Yes</x:v>
      </x:c>
      <x:c r="T18" s="464" t="str">
        <x:f>IF($S18="No","Disabled",IF('Cost Center'!$F$5="Planning",IF($M18="","Missing","Planning"),IF('Cost Center'!$F$5="Contracted",IF($N18="","Missing","Contracted"),IF($O18="","Missing","Actual"))))</x:f>
        <x:v>Planning</x:v>
      </x:c>
      <x:c r="U18" s="464" t="str">
        <x:v>Internal planning assumption</x:v>
      </x:c>
      <x:c r="V18" s="464" t="str">
        <x:v>Statement, data and reward-explanation allowance.</x:v>
      </x:c>
    </x:row>
    <x:row r="19" ht="42" customHeight="1">
      <x:c r="A19" s="448"/>
      <x:c r="B19" s="470" t="str">
        <x:v>P001</x:v>
      </x:c>
      <x:c r="C19" s="470" t="str">
        <x:v>Seller Ops &amp; Risk</x:v>
      </x:c>
      <x:c r="D19" s="470" t="str">
        <x:v>PayFac</x:v>
      </x:c>
      <x:c r="E19" s="470" t="str">
        <x:v>Get Paid</x:v>
      </x:c>
      <x:c r="F19" s="470" t="str">
        <x:v>Vendor &amp; processing</x:v>
      </x:c>
      <x:c r="G19" s="470" t="str">
        <x:v>Seller</x:v>
      </x:c>
      <x:c r="H19" s="470" t="str">
        <x:v>Payment acceptance</x:v>
      </x:c>
      <x:c r="I19" s="470" t="str">
        <x:v>Processor volume fee</x:v>
      </x:c>
      <x:c r="J19" s="470" t="str">
        <x:v>Acquiring processor</x:v>
      </x:c>
      <x:c r="K19" s="470" t="str">
        <x:v>SALES_$</x:v>
      </x:c>
      <x:c r="L19" s="470" t="str">
        <x:v>USD</x:v>
      </x:c>
      <x:c r="M19" s="486" t="n">
        <x:v>0.003</x:v>
      </x:c>
      <x:c r="N19" s="486"/>
      <x:c r="O19" s="486"/>
      <x:c r="P19" s="494" t="n">
        <x:f>IF($S19="No",0,IF('Cost Center'!$F$5="Planning",IF($M19="",0,$M19),IF('Cost Center'!$F$5="Contracted",IF($N19="",0,$N19),IF($O19="",0,$O19))))</x:f>
        <x:v>0.003</x:v>
      </x:c>
      <x:c r="Q19" s="497" t="n">
        <x:f>IF($S19="No",0,SUMIF('Cost Drivers'!$B$48:$B$105,$K19,'Cost Drivers'!$E$48:$E$105)*$P19)</x:f>
        <x:v>300</x:v>
      </x:c>
      <x:c r="R19" s="497" t="n">
        <x:f>IF($S19="No",0,SUMIF('Cost Drivers'!$B$48:$B$105,$K19,'Cost Drivers'!$F$48:$F$105)*$P19)</x:f>
        <x:v>300</x:v>
      </x:c>
      <x:c r="S19" s="492" t="str">
        <x:v>Yes</x:v>
      </x:c>
      <x:c r="T19" s="470" t="str">
        <x:f>IF($S19="No","Disabled",IF('Cost Center'!$F$5="Planning",IF($M19="","Missing","Planning"),IF('Cost Center'!$F$5="Contracted",IF($N19="","Missing","Contracted"),IF($O19="","Missing","Actual"))))</x:f>
        <x:v>Planning</x:v>
      </x:c>
      <x:c r="U19" s="470" t="str">
        <x:v>https://finix.com/pricing/platforms</x:v>
      </x:c>
      <x:c r="V19" s="470" t="str">
        <x:v>Public platform benchmark carried forward; replace with contracted rate.</x:v>
      </x:c>
    </x:row>
    <x:row r="20" ht="42" customHeight="1">
      <x:c r="A20" s="448"/>
      <x:c r="B20" s="464" t="str">
        <x:v>P002</x:v>
      </x:c>
      <x:c r="C20" s="464" t="str">
        <x:v>Seller Ops &amp; Risk</x:v>
      </x:c>
      <x:c r="D20" s="464" t="str">
        <x:v>PayFac</x:v>
      </x:c>
      <x:c r="E20" s="464" t="str">
        <x:v>Get Paid</x:v>
      </x:c>
      <x:c r="F20" s="464" t="str">
        <x:v>Vendor &amp; processing</x:v>
      </x:c>
      <x:c r="G20" s="464" t="str">
        <x:v>Seller</x:v>
      </x:c>
      <x:c r="H20" s="464" t="str">
        <x:v>Payment acceptance</x:v>
      </x:c>
      <x:c r="I20" s="464" t="str">
        <x:v>Processor authorization / transaction fee</x:v>
      </x:c>
      <x:c r="J20" s="464" t="str">
        <x:v>Acquiring processor</x:v>
      </x:c>
      <x:c r="K20" s="464" t="str">
        <x:v>SALE_AUTH_ATTEMPTS</x:v>
      </x:c>
      <x:c r="L20" s="464" t="str">
        <x:v>attempts</x:v>
      </x:c>
      <x:c r="M20" s="485" t="n">
        <x:v>0.15</x:v>
      </x:c>
      <x:c r="N20" s="485"/>
      <x:c r="O20" s="485"/>
      <x:c r="P20" s="499" t="n">
        <x:f>IF($S20="No",0,IF('Cost Center'!$F$5="Planning",IF($M20="",0,$M20),IF('Cost Center'!$F$5="Contracted",IF($N20="",0,$N20),IF($O20="",0,$O20))))</x:f>
        <x:v>0.15</x:v>
      </x:c>
      <x:c r="Q20" s="491" t="n">
        <x:f>IF($S20="No",0,SUMIF('Cost Drivers'!$B$48:$B$105,$K20,'Cost Drivers'!$E$48:$E$105)*$P20)</x:f>
        <x:v>157.8947368421053</x:v>
      </x:c>
      <x:c r="R20" s="491" t="n">
        <x:f>IF($S20="No",0,SUMIF('Cost Drivers'!$B$48:$B$105,$K20,'Cost Drivers'!$F$48:$F$105)*$P20)</x:f>
        <x:v>157.8947368421053</x:v>
      </x:c>
      <x:c r="S20" s="492" t="str">
        <x:v>Yes</x:v>
      </x:c>
      <x:c r="T20" s="464" t="str">
        <x:f>IF($S20="No","Disabled",IF('Cost Center'!$F$5="Planning",IF($M20="","Missing","Planning"),IF('Cost Center'!$F$5="Contracted",IF($N20="","Missing","Contracted"),IF($O20="","Missing","Actual"))))</x:f>
        <x:v>Planning</x:v>
      </x:c>
      <x:c r="U20" s="464" t="str">
        <x:v>https://finix.com/pricing/platforms</x:v>
      </x:c>
      <x:c r="V20" s="464" t="str">
        <x:v>Model uses authorization attempts so failed attempts can be reflected.</x:v>
      </x:c>
    </x:row>
    <x:row r="21" ht="42" customHeight="1">
      <x:c r="A21" s="448"/>
      <x:c r="B21" s="470" t="str">
        <x:v>P003</x:v>
      </x:c>
      <x:c r="C21" s="470" t="str">
        <x:v>Seller Ops &amp; Risk</x:v>
      </x:c>
      <x:c r="D21" s="470" t="str">
        <x:v>PayFac</x:v>
      </x:c>
      <x:c r="E21" s="470" t="str">
        <x:v>Verify &amp; Activate</x:v>
      </x:c>
      <x:c r="F21" s="470" t="str">
        <x:v>Vendor &amp; processing</x:v>
      </x:c>
      <x:c r="G21" s="470" t="str">
        <x:v>Seller</x:v>
      </x:c>
      <x:c r="H21" s="470" t="str">
        <x:v>Seller profile</x:v>
      </x:c>
      <x:c r="I21" s="470" t="str">
        <x:v>Active seller account fee</x:v>
      </x:c>
      <x:c r="J21" s="470" t="str">
        <x:v>Acquiring platform</x:v>
      </x:c>
      <x:c r="K21" s="470" t="str">
        <x:v>SELLER_PROFILE_MONTHS</x:v>
      </x:c>
      <x:c r="L21" s="470" t="str">
        <x:v>seller-months</x:v>
      </x:c>
      <x:c r="M21" s="485" t="n">
        <x:v>2.5</x:v>
      </x:c>
      <x:c r="N21" s="485"/>
      <x:c r="O21" s="485"/>
      <x:c r="P21" s="501" t="n">
        <x:f>IF($S21="No",0,IF('Cost Center'!$F$5="Planning",IF($M21="",0,$M21),IF('Cost Center'!$F$5="Contracted",IF($N21="",0,$N21),IF($O21="",0,$O21))))</x:f>
        <x:v>2.5</x:v>
      </x:c>
      <x:c r="Q21" s="497" t="n">
        <x:f>IF($S21="No",0,SUMIF('Cost Drivers'!$B$48:$B$105,$K21,'Cost Drivers'!$E$48:$E$105)*$P21)</x:f>
        <x:v>30</x:v>
      </x:c>
      <x:c r="R21" s="497" t="n">
        <x:f>IF($S21="No",0,SUMIF('Cost Drivers'!$B$48:$B$105,$K21,'Cost Drivers'!$F$48:$F$105)*$P21)</x:f>
        <x:v>30</x:v>
      </x:c>
      <x:c r="S21" s="492" t="str">
        <x:v>Yes</x:v>
      </x:c>
      <x:c r="T21" s="470" t="str">
        <x:f>IF($S21="No","Disabled",IF('Cost Center'!$F$5="Planning",IF($M21="","Missing","Planning"),IF('Cost Center'!$F$5="Contracted",IF($N21="","Missing","Contracted"),IF($O21="","Missing","Actual"))))</x:f>
        <x:v>Planning</x:v>
      </x:c>
      <x:c r="U21" s="470" t="str">
        <x:v>https://finix.com/pricing/platforms</x:v>
      </x:c>
      <x:c r="V21" s="470" t="str">
        <x:v>Public planning benchmark; confirm bundle treatment.</x:v>
      </x:c>
    </x:row>
    <x:row r="22" ht="42" customHeight="1">
      <x:c r="A22" s="448"/>
      <x:c r="B22" s="464" t="str">
        <x:v>P004</x:v>
      </x:c>
      <x:c r="C22" s="464" t="str">
        <x:v>Seller Ops &amp; Risk</x:v>
      </x:c>
      <x:c r="D22" s="464" t="str">
        <x:v>PayFac</x:v>
      </x:c>
      <x:c r="E22" s="464" t="str">
        <x:v>Get Paid</x:v>
      </x:c>
      <x:c r="F22" s="464" t="str">
        <x:v>Vendor &amp; processing</x:v>
      </x:c>
      <x:c r="G22" s="464" t="str">
        <x:v>Seller</x:v>
      </x:c>
      <x:c r="H22" s="464" t="str">
        <x:v>Payout</x:v>
      </x:c>
      <x:c r="I22" s="464" t="str">
        <x:v>Standard payout fee</x:v>
      </x:c>
      <x:c r="J22" s="464" t="str">
        <x:v>Payout provider</x:v>
      </x:c>
      <x:c r="K22" s="464" t="str">
        <x:v>PAYOUTS</x:v>
      </x:c>
      <x:c r="L22" s="464" t="str">
        <x:v>payouts</x:v>
      </x:c>
      <x:c r="M22" s="485" t="n">
        <x:v>0.25</x:v>
      </x:c>
      <x:c r="N22" s="485"/>
      <x:c r="O22" s="485"/>
      <x:c r="P22" s="499" t="n">
        <x:f>IF($S22="No",0,IF('Cost Center'!$F$5="Planning",IF($M22="",0,$M22),IF('Cost Center'!$F$5="Contracted",IF($N22="",0,$N22),IF($O22="",0,$O22))))</x:f>
        <x:v>0.25</x:v>
      </x:c>
      <x:c r="Q22" s="491" t="n">
        <x:f>IF($S22="No",0,SUMIF('Cost Drivers'!$B$48:$B$105,$K22,'Cost Drivers'!$E$48:$E$105)*$P22)</x:f>
        <x:v>3</x:v>
      </x:c>
      <x:c r="R22" s="491" t="n">
        <x:f>IF($S22="No",0,SUMIF('Cost Drivers'!$B$48:$B$105,$K22,'Cost Drivers'!$F$48:$F$105)*$P22)</x:f>
        <x:v>3</x:v>
      </x:c>
      <x:c r="S22" s="492" t="str">
        <x:v>Yes</x:v>
      </x:c>
      <x:c r="T22" s="464" t="str">
        <x:f>IF($S22="No","Disabled",IF('Cost Center'!$F$5="Planning",IF($M22="","Missing","Planning"),IF('Cost Center'!$F$5="Contracted",IF($N22="","Missing","Contracted"),IF($O22="","Missing","Actual"))))</x:f>
        <x:v>Planning</x:v>
      </x:c>
      <x:c r="U22" s="464" t="str">
        <x:v>https://finix.com/finix-vs-stripe</x:v>
      </x:c>
      <x:c r="V22" s="464" t="str">
        <x:v>Official vendor comparison benchmark; replace with contract.</x:v>
      </x:c>
    </x:row>
    <x:row r="23" ht="42" customHeight="1">
      <x:c r="A23" s="448"/>
      <x:c r="B23" s="470" t="str">
        <x:v>P005</x:v>
      </x:c>
      <x:c r="C23" s="470" t="str">
        <x:v>Seller Ops &amp; Risk</x:v>
      </x:c>
      <x:c r="D23" s="470" t="str">
        <x:v>PayFac</x:v>
      </x:c>
      <x:c r="E23" s="470" t="str">
        <x:v>Verify &amp; Activate</x:v>
      </x:c>
      <x:c r="F23" s="470" t="str">
        <x:v>Compliance &amp; legal</x:v>
      </x:c>
      <x:c r="G23" s="470" t="str">
        <x:v>Seller</x:v>
      </x:c>
      <x:c r="H23" s="470" t="str">
        <x:v>Seller onboarding</x:v>
      </x:c>
      <x:c r="I23" s="470" t="str">
        <x:v>KYC / KYB vendor check</x:v>
      </x:c>
      <x:c r="J23" s="470" t="str">
        <x:v>Verification vendor</x:v>
      </x:c>
      <x:c r="K23" s="470" t="str">
        <x:v>KYB_CHECKS</x:v>
      </x:c>
      <x:c r="L23" s="470" t="str">
        <x:v>checks</x:v>
      </x:c>
      <x:c r="M23" s="485"/>
      <x:c r="N23" s="485"/>
      <x:c r="O23" s="485"/>
      <x:c r="P23" s="501" t="n">
        <x:f>IF($S23="No",0,IF('Cost Center'!$F$5="Planning",IF($M23="",0,$M23),IF('Cost Center'!$F$5="Contracted",IF($N23="",0,$N23),IF($O23="",0,$O23))))</x:f>
        <x:v>0</x:v>
      </x:c>
      <x:c r="Q23" s="497" t="n">
        <x:f>IF($S23="No",0,SUMIF('Cost Drivers'!$B$48:$B$105,$K23,'Cost Drivers'!$E$48:$E$105)*$P23)</x:f>
        <x:v>0</x:v>
      </x:c>
      <x:c r="R23" s="497" t="n">
        <x:f>IF($S23="No",0,SUMIF('Cost Drivers'!$B$48:$B$105,$K23,'Cost Drivers'!$F$48:$F$105)*$P23)</x:f>
        <x:v>0</x:v>
      </x:c>
      <x:c r="S23" s="492" t="str">
        <x:v>Yes</x:v>
      </x:c>
      <x:c r="T23" s="470" t="str">
        <x:f>IF($S23="No","Disabled",IF('Cost Center'!$F$5="Planning",IF($M23="","Missing","Planning"),IF('Cost Center'!$F$5="Contracted",IF($N23="","Missing","Contracted"),IF($O23="","Missing","Actual"))))</x:f>
        <x:v>Missing</x:v>
      </x:c>
      <x:c r="U23" s="470" t="str">
        <x:v>Contract required</x:v>
      </x:c>
      <x:c r="V23" s="470" t="str">
        <x:v>Do not duplicate if bundled with sponsor or processor.</x:v>
      </x:c>
    </x:row>
    <x:row r="24" ht="42" customHeight="1">
      <x:c r="A24" s="448"/>
      <x:c r="B24" s="464" t="str">
        <x:v>P006</x:v>
      </x:c>
      <x:c r="C24" s="464" t="str">
        <x:v>Seller Ops &amp; Risk</x:v>
      </x:c>
      <x:c r="D24" s="464" t="str">
        <x:v>PayFac</x:v>
      </x:c>
      <x:c r="E24" s="464" t="str">
        <x:v>Verify &amp; Activate</x:v>
      </x:c>
      <x:c r="F24" s="464" t="str">
        <x:v>Compliance &amp; legal</x:v>
      </x:c>
      <x:c r="G24" s="464" t="str">
        <x:v>Seller</x:v>
      </x:c>
      <x:c r="H24" s="464" t="str">
        <x:v>Seller onboarding</x:v>
      </x:c>
      <x:c r="I24" s="464" t="str">
        <x:v>Sanctions and merchant screening</x:v>
      </x:c>
      <x:c r="J24" s="464" t="str">
        <x:v>Risk vendor</x:v>
      </x:c>
      <x:c r="K24" s="464" t="str">
        <x:v>KYB_CHECKS</x:v>
      </x:c>
      <x:c r="L24" s="464" t="str">
        <x:v>checks</x:v>
      </x:c>
      <x:c r="M24" s="485"/>
      <x:c r="N24" s="485"/>
      <x:c r="O24" s="485"/>
      <x:c r="P24" s="499" t="n">
        <x:f>IF($S24="No",0,IF('Cost Center'!$F$5="Planning",IF($M24="",0,$M24),IF('Cost Center'!$F$5="Contracted",IF($N24="",0,$N24),IF($O24="",0,$O24))))</x:f>
        <x:v>0</x:v>
      </x:c>
      <x:c r="Q24" s="491" t="n">
        <x:f>IF($S24="No",0,SUMIF('Cost Drivers'!$B$48:$B$105,$K24,'Cost Drivers'!$E$48:$E$105)*$P24)</x:f>
        <x:v>0</x:v>
      </x:c>
      <x:c r="R24" s="491" t="n">
        <x:f>IF($S24="No",0,SUMIF('Cost Drivers'!$B$48:$B$105,$K24,'Cost Drivers'!$F$48:$F$105)*$P24)</x:f>
        <x:v>0</x:v>
      </x:c>
      <x:c r="S24" s="492" t="str">
        <x:v>Yes</x:v>
      </x:c>
      <x:c r="T24" s="464" t="str">
        <x:f>IF($S24="No","Disabled",IF('Cost Center'!$F$5="Planning",IF($M24="","Missing","Planning"),IF('Cost Center'!$F$5="Contracted",IF($N24="","Missing","Contracted"),IF($O24="","Missing","Actual"))))</x:f>
        <x:v>Missing</x:v>
      </x:c>
      <x:c r="U24" s="464" t="str">
        <x:v>Contract required</x:v>
      </x:c>
      <x:c r="V24" s="464" t="str">
        <x:v>Separate only if not included in KYC / KYB.</x:v>
      </x:c>
    </x:row>
    <x:row r="25" ht="42" customHeight="1">
      <x:c r="A25" s="448"/>
      <x:c r="B25" s="470" t="str">
        <x:v>P007</x:v>
      </x:c>
      <x:c r="C25" s="470" t="str">
        <x:v>Seller Ops &amp; Risk</x:v>
      </x:c>
      <x:c r="D25" s="470" t="str">
        <x:v>PayFac</x:v>
      </x:c>
      <x:c r="E25" s="470" t="str">
        <x:v>Verify &amp; Activate</x:v>
      </x:c>
      <x:c r="F25" s="470" t="str">
        <x:v>Labor &amp; support</x:v>
      </x:c>
      <x:c r="G25" s="470" t="str">
        <x:v>Seller</x:v>
      </x:c>
      <x:c r="H25" s="470" t="str">
        <x:v>Seller onboarding</x:v>
      </x:c>
      <x:c r="I25" s="470" t="str">
        <x:v>Manual underwriting labor</x:v>
      </x:c>
      <x:c r="J25" s="470" t="str">
        <x:v>Risk operations</x:v>
      </x:c>
      <x:c r="K25" s="470" t="str">
        <x:v>PAYFAC_REVIEW_HOURS</x:v>
      </x:c>
      <x:c r="L25" s="470" t="str">
        <x:v>hours</x:v>
      </x:c>
      <x:c r="M25" s="485" t="n">
        <x:v>35</x:v>
      </x:c>
      <x:c r="N25" s="485"/>
      <x:c r="O25" s="485"/>
      <x:c r="P25" s="501" t="n">
        <x:f>IF($S25="No",0,IF('Cost Center'!$F$5="Planning",IF($M25="",0,$M25),IF('Cost Center'!$F$5="Contracted",IF($N25="",0,$N25),IF($O25="",0,$O25))))</x:f>
        <x:v>35</x:v>
      </x:c>
      <x:c r="Q25" s="497" t="n">
        <x:f>IF($S25="No",0,SUMIF('Cost Drivers'!$B$48:$B$105,$K25,'Cost Drivers'!$E$48:$E$105)*$P25)</x:f>
        <x:v>35</x:v>
      </x:c>
      <x:c r="R25" s="497" t="n">
        <x:f>IF($S25="No",0,SUMIF('Cost Drivers'!$B$48:$B$105,$K25,'Cost Drivers'!$F$48:$F$105)*$P25)</x:f>
        <x:v>35</x:v>
      </x:c>
      <x:c r="S25" s="492" t="str">
        <x:v>Yes</x:v>
      </x:c>
      <x:c r="T25" s="470" t="str">
        <x:f>IF($S25="No","Disabled",IF('Cost Center'!$F$5="Planning",IF($M25="","Missing","Planning"),IF('Cost Center'!$F$5="Contracted",IF($N25="","Missing","Contracted"),IF($O25="","Missing","Actual"))))</x:f>
        <x:v>Planning</x:v>
      </x:c>
      <x:c r="U25" s="470" t="str">
        <x:v>Internal planning assumption</x:v>
      </x:c>
      <x:c r="V25" s="470" t="str">
        <x:v>Illustrative loaded operating rate.</x:v>
      </x:c>
    </x:row>
    <x:row r="26" ht="42" customHeight="1">
      <x:c r="A26" s="448"/>
      <x:c r="B26" s="464" t="str">
        <x:v>P008</x:v>
      </x:c>
      <x:c r="C26" s="464" t="str">
        <x:v>Seller Ops &amp; Risk</x:v>
      </x:c>
      <x:c r="D26" s="464" t="str">
        <x:v>PayFac</x:v>
      </x:c>
      <x:c r="E26" s="464" t="str">
        <x:v>Serve &amp; Protect</x:v>
      </x:c>
      <x:c r="F26" s="464" t="str">
        <x:v>Labor &amp; support</x:v>
      </x:c>
      <x:c r="G26" s="464" t="str">
        <x:v>Seller</x:v>
      </x:c>
      <x:c r="H26" s="464" t="str">
        <x:v>Refunds</x:v>
      </x:c>
      <x:c r="I26" s="464" t="str">
        <x:v>Refund operations labor</x:v>
      </x:c>
      <x:c r="J26" s="464" t="str">
        <x:v>Payments operations</x:v>
      </x:c>
      <x:c r="K26" s="464" t="str">
        <x:v>REFUND_OPS_HOURS</x:v>
      </x:c>
      <x:c r="L26" s="464" t="str">
        <x:v>hours</x:v>
      </x:c>
      <x:c r="M26" s="485" t="n">
        <x:v>35</x:v>
      </x:c>
      <x:c r="N26" s="485"/>
      <x:c r="O26" s="485"/>
      <x:c r="P26" s="499" t="n">
        <x:f>IF($S26="No",0,IF('Cost Center'!$F$5="Planning",IF($M26="",0,$M26),IF('Cost Center'!$F$5="Contracted",IF($N26="",0,$N26),IF($O26="",0,$O26))))</x:f>
        <x:v>35</x:v>
      </x:c>
      <x:c r="Q26" s="491" t="n">
        <x:f>IF($S26="No",0,SUMIF('Cost Drivers'!$B$48:$B$105,$K26,'Cost Drivers'!$E$48:$E$105)*$P26)</x:f>
        <x:v>35</x:v>
      </x:c>
      <x:c r="R26" s="491" t="n">
        <x:f>IF($S26="No",0,SUMIF('Cost Drivers'!$B$48:$B$105,$K26,'Cost Drivers'!$F$48:$F$105)*$P26)</x:f>
        <x:v>35</x:v>
      </x:c>
      <x:c r="S26" s="492" t="str">
        <x:v>Yes</x:v>
      </x:c>
      <x:c r="T26" s="464" t="str">
        <x:f>IF($S26="No","Disabled",IF('Cost Center'!$F$5="Planning",IF($M26="","Missing","Planning"),IF('Cost Center'!$F$5="Contracted",IF($N26="","Missing","Contracted"),IF($O26="","Missing","Actual"))))</x:f>
        <x:v>Planning</x:v>
      </x:c>
      <x:c r="U26" s="464" t="str">
        <x:v>Internal planning assumption</x:v>
      </x:c>
      <x:c r="V26" s="464" t="str">
        <x:v>Time spent handling refunds and exceptions.</x:v>
      </x:c>
    </x:row>
    <x:row r="27" ht="42" customHeight="1">
      <x:c r="A27" s="448"/>
      <x:c r="B27" s="470" t="str">
        <x:v>P009</x:v>
      </x:c>
      <x:c r="C27" s="470" t="str">
        <x:v>Seller Ops &amp; Risk</x:v>
      </x:c>
      <x:c r="D27" s="470" t="str">
        <x:v>PayFac</x:v>
      </x:c>
      <x:c r="E27" s="470" t="str">
        <x:v>Serve &amp; Protect</x:v>
      </x:c>
      <x:c r="F27" s="470" t="str">
        <x:v>Labor &amp; support</x:v>
      </x:c>
      <x:c r="G27" s="470" t="str">
        <x:v>Seller</x:v>
      </x:c>
      <x:c r="H27" s="470" t="str">
        <x:v>Disputes</x:v>
      </x:c>
      <x:c r="I27" s="470" t="str">
        <x:v>Dispute operations labor</x:v>
      </x:c>
      <x:c r="J27" s="470" t="str">
        <x:v>Disputes operations</x:v>
      </x:c>
      <x:c r="K27" s="470" t="str">
        <x:v>PAYFAC_DISPUTE_OPS_HOURS</x:v>
      </x:c>
      <x:c r="L27" s="470" t="str">
        <x:v>hours</x:v>
      </x:c>
      <x:c r="M27" s="485" t="n">
        <x:v>35</x:v>
      </x:c>
      <x:c r="N27" s="485"/>
      <x:c r="O27" s="485"/>
      <x:c r="P27" s="501" t="n">
        <x:f>IF($S27="No",0,IF('Cost Center'!$F$5="Planning",IF($M27="",0,$M27),IF('Cost Center'!$F$5="Contracted",IF($N27="",0,$N27),IF($O27="",0,$O27))))</x:f>
        <x:v>35</x:v>
      </x:c>
      <x:c r="Q27" s="497" t="n">
        <x:f>IF($S27="No",0,SUMIF('Cost Drivers'!$B$48:$B$105,$K27,'Cost Drivers'!$E$48:$E$105)*$P27)</x:f>
        <x:v>35</x:v>
      </x:c>
      <x:c r="R27" s="497" t="n">
        <x:f>IF($S27="No",0,SUMIF('Cost Drivers'!$B$48:$B$105,$K27,'Cost Drivers'!$F$48:$F$105)*$P27)</x:f>
        <x:v>35</x:v>
      </x:c>
      <x:c r="S27" s="492" t="str">
        <x:v>Yes</x:v>
      </x:c>
      <x:c r="T27" s="470" t="str">
        <x:f>IF($S27="No","Disabled",IF('Cost Center'!$F$5="Planning",IF($M27="","Missing","Planning"),IF('Cost Center'!$F$5="Contracted",IF($N27="","Missing","Contracted"),IF($O27="","Missing","Actual"))))</x:f>
        <x:v>Planning</x:v>
      </x:c>
      <x:c r="U27" s="470" t="str">
        <x:v>Internal planning assumption</x:v>
      </x:c>
      <x:c r="V27" s="470" t="str">
        <x:v>Time spent on evidence, deadlines and communication.</x:v>
      </x:c>
    </x:row>
    <x:row r="28" ht="42" customHeight="1">
      <x:c r="A28" s="448"/>
      <x:c r="B28" s="464" t="str">
        <x:v>P010</x:v>
      </x:c>
      <x:c r="C28" s="464" t="str">
        <x:v>Customer Service</x:v>
      </x:c>
      <x:c r="D28" s="464" t="str">
        <x:v>PayFac</x:v>
      </x:c>
      <x:c r="E28" s="464" t="str">
        <x:v>Serve &amp; Protect</x:v>
      </x:c>
      <x:c r="F28" s="464" t="str">
        <x:v>Labor &amp; support</x:v>
      </x:c>
      <x:c r="G28" s="464" t="str">
        <x:v>Seller</x:v>
      </x:c>
      <x:c r="H28" s="464" t="str">
        <x:v>Seller support</x:v>
      </x:c>
      <x:c r="I28" s="464" t="str">
        <x:v>Seller support labor</x:v>
      </x:c>
      <x:c r="J28" s="464" t="str">
        <x:v>Member service</x:v>
      </x:c>
      <x:c r="K28" s="464" t="str">
        <x:v>PAYFAC_SUPPORT_HOURS</x:v>
      </x:c>
      <x:c r="L28" s="464" t="str">
        <x:v>hours</x:v>
      </x:c>
      <x:c r="M28" s="485" t="n">
        <x:v>35</x:v>
      </x:c>
      <x:c r="N28" s="485"/>
      <x:c r="O28" s="485"/>
      <x:c r="P28" s="499" t="n">
        <x:f>IF($S28="No",0,IF('Cost Center'!$F$5="Planning",IF($M28="",0,$M28),IF('Cost Center'!$F$5="Contracted",IF($N28="",0,$N28),IF($O28="",0,$O28))))</x:f>
        <x:v>35</x:v>
      </x:c>
      <x:c r="Q28" s="491" t="n">
        <x:f>IF($S28="No",0,SUMIF('Cost Drivers'!$B$48:$B$105,$K28,'Cost Drivers'!$E$48:$E$105)*$P28)</x:f>
        <x:v>8.166666666666666</x:v>
      </x:c>
      <x:c r="R28" s="491" t="n">
        <x:f>IF($S28="No",0,SUMIF('Cost Drivers'!$B$48:$B$105,$K28,'Cost Drivers'!$F$48:$F$105)*$P28)</x:f>
        <x:v>10.208333333333334</x:v>
      </x:c>
      <x:c r="S28" s="492" t="str">
        <x:v>Yes</x:v>
      </x:c>
      <x:c r="T28" s="464" t="str">
        <x:f>IF($S28="No","Disabled",IF('Cost Center'!$F$5="Planning",IF($M28="","Missing","Planning"),IF('Cost Center'!$F$5="Contracted",IF($N28="","Missing","Contracted"),IF($O28="","Missing","Actual"))))</x:f>
        <x:v>Planning</x:v>
      </x:c>
      <x:c r="U28" s="464" t="str">
        <x:v>Internal planning assumption</x:v>
      </x:c>
      <x:c r="V28" s="464" t="str">
        <x:v>General payments and payout support.</x:v>
      </x:c>
    </x:row>
    <x:row r="29" ht="42" customHeight="1">
      <x:c r="A29" s="448"/>
      <x:c r="B29" s="470" t="str">
        <x:v>P011</x:v>
      </x:c>
      <x:c r="C29" s="470" t="str">
        <x:v>Seller Ops &amp; Risk</x:v>
      </x:c>
      <x:c r="D29" s="470" t="str">
        <x:v>PayFac</x:v>
      </x:c>
      <x:c r="E29" s="470" t="str">
        <x:v>Get Paid</x:v>
      </x:c>
      <x:c r="F29" s="470" t="str">
        <x:v>Risk &amp; loss</x:v>
      </x:c>
      <x:c r="G29" s="470" t="str">
        <x:v>Seller</x:v>
      </x:c>
      <x:c r="H29" s="470" t="str">
        <x:v>Payment acceptance</x:v>
      </x:c>
      <x:c r="I29" s="470" t="str">
        <x:v>Seller loss allowance</x:v>
      </x:c>
      <x:c r="J29" s="470" t="str">
        <x:v>Risk reserve</x:v>
      </x:c>
      <x:c r="K29" s="470" t="str">
        <x:v>SALES_$</x:v>
      </x:c>
      <x:c r="L29" s="470" t="str">
        <x:v>USD</x:v>
      </x:c>
      <x:c r="M29" s="486" t="n">
        <x:v>0.0008</x:v>
      </x:c>
      <x:c r="N29" s="486"/>
      <x:c r="O29" s="486"/>
      <x:c r="P29" s="494" t="n">
        <x:f>IF($S29="No",0,IF('Cost Center'!$F$5="Planning",IF($M29="",0,$M29),IF('Cost Center'!$F$5="Contracted",IF($N29="",0,$N29),IF($O29="",0,$O29))))</x:f>
        <x:v>0.0008</x:v>
      </x:c>
      <x:c r="Q29" s="497" t="n">
        <x:f>IF($S29="No",0,SUMIF('Cost Drivers'!$B$48:$B$105,$K29,'Cost Drivers'!$E$48:$E$105)*$P29)</x:f>
        <x:v>80</x:v>
      </x:c>
      <x:c r="R29" s="497" t="n">
        <x:f>IF($S29="No",0,SUMIF('Cost Drivers'!$B$48:$B$105,$K29,'Cost Drivers'!$F$48:$F$105)*$P29)</x:f>
        <x:v>80</x:v>
      </x:c>
      <x:c r="S29" s="492" t="str">
        <x:v>Yes</x:v>
      </x:c>
      <x:c r="T29" s="470" t="str">
        <x:f>IF($S29="No","Disabled",IF('Cost Center'!$F$5="Planning",IF($M29="","Missing","Planning"),IF('Cost Center'!$F$5="Contracted",IF($N29="","Missing","Contracted"),IF($O29="","Missing","Actual"))))</x:f>
        <x:v>Planning</x:v>
      </x:c>
      <x:c r="U29" s="470" t="str">
        <x:v>Internal planning assumption</x:v>
      </x:c>
      <x:c r="V29" s="470" t="str">
        <x:v>Illustrative unrecovered negative-balance / fraud allowance.</x:v>
      </x:c>
    </x:row>
    <x:row r="30" ht="42" customHeight="1">
      <x:c r="A30" s="448"/>
      <x:c r="B30" s="464" t="str">
        <x:v>P012</x:v>
      </x:c>
      <x:c r="C30" s="464" t="str">
        <x:v>Seller Ops &amp; Risk</x:v>
      </x:c>
      <x:c r="D30" s="464" t="str">
        <x:v>PayFac</x:v>
      </x:c>
      <x:c r="E30" s="464" t="str">
        <x:v>Serve &amp; Protect</x:v>
      </x:c>
      <x:c r="F30" s="464" t="str">
        <x:v>Compliance &amp; legal</x:v>
      </x:c>
      <x:c r="G30" s="464" t="str">
        <x:v>Seller</x:v>
      </x:c>
      <x:c r="H30" s="464" t="str">
        <x:v>Seller monitoring</x:v>
      </x:c>
      <x:c r="I30" s="464" t="str">
        <x:v>Ongoing seller monitoring</x:v>
      </x:c>
      <x:c r="J30" s="464" t="str">
        <x:v>Risk operations</x:v>
      </x:c>
      <x:c r="K30" s="464" t="str">
        <x:v>SELLER_PROFILE_MONTHS</x:v>
      </x:c>
      <x:c r="L30" s="464" t="str">
        <x:v>seller-months</x:v>
      </x:c>
      <x:c r="M30" s="485" t="n">
        <x:v>1</x:v>
      </x:c>
      <x:c r="N30" s="485"/>
      <x:c r="O30" s="485"/>
      <x:c r="P30" s="499" t="n">
        <x:f>IF($S30="No",0,IF('Cost Center'!$F$5="Planning",IF($M30="",0,$M30),IF('Cost Center'!$F$5="Contracted",IF($N30="",0,$N30),IF($O30="",0,$O30))))</x:f>
        <x:v>1</x:v>
      </x:c>
      <x:c r="Q30" s="491" t="n">
        <x:f>IF($S30="No",0,SUMIF('Cost Drivers'!$B$48:$B$105,$K30,'Cost Drivers'!$E$48:$E$105)*$P30)</x:f>
        <x:v>12</x:v>
      </x:c>
      <x:c r="R30" s="491" t="n">
        <x:f>IF($S30="No",0,SUMIF('Cost Drivers'!$B$48:$B$105,$K30,'Cost Drivers'!$F$48:$F$105)*$P30)</x:f>
        <x:v>12</x:v>
      </x:c>
      <x:c r="S30" s="492" t="str">
        <x:v>Yes</x:v>
      </x:c>
      <x:c r="T30" s="464" t="str">
        <x:f>IF($S30="No","Disabled",IF('Cost Center'!$F$5="Planning",IF($M30="","Missing","Planning"),IF('Cost Center'!$F$5="Contracted",IF($N30="","Missing","Contracted"),IF($O30="","Missing","Actual"))))</x:f>
        <x:v>Planning</x:v>
      </x:c>
      <x:c r="U30" s="464" t="str">
        <x:v>Internal planning assumption</x:v>
      </x:c>
      <x:c r="V30" s="464" t="str">
        <x:v>Ongoing activity and profile monitoring allowance.</x:v>
      </x:c>
    </x:row>
    <x:row r="31" ht="42" customHeight="1">
      <x:c r="A31" s="448"/>
      <x:c r="B31" s="470" t="str">
        <x:v>P013</x:v>
      </x:c>
      <x:c r="C31" s="470" t="str">
        <x:v>Seller Ops &amp; Risk</x:v>
      </x:c>
      <x:c r="D31" s="470" t="str">
        <x:v>PayFac</x:v>
      </x:c>
      <x:c r="E31" s="470" t="str">
        <x:v>Get Paid</x:v>
      </x:c>
      <x:c r="F31" s="470" t="str">
        <x:v>Vendor &amp; processing</x:v>
      </x:c>
      <x:c r="G31" s="470" t="str">
        <x:v>Seller</x:v>
      </x:c>
      <x:c r="H31" s="470" t="str">
        <x:v>Authentication</x:v>
      </x:c>
      <x:c r="I31" s="470" t="str">
        <x:v>3DS authentication fee</x:v>
      </x:c>
      <x:c r="J31" s="470" t="str">
        <x:v>Authentication vendor</x:v>
      </x:c>
      <x:c r="K31" s="470" t="str">
        <x:v>SALE_AUTH_ATTEMPTS</x:v>
      </x:c>
      <x:c r="L31" s="470" t="str">
        <x:v>attempts</x:v>
      </x:c>
      <x:c r="M31" s="485" t="n">
        <x:v>0.03</x:v>
      </x:c>
      <x:c r="N31" s="485"/>
      <x:c r="O31" s="485"/>
      <x:c r="P31" s="501" t="n">
        <x:f>IF($S31="No",0,IF('Cost Center'!$F$5="Planning",IF($M31="",0,$M31),IF('Cost Center'!$F$5="Contracted",IF($N31="",0,$N31),IF($O31="",0,$O31))))</x:f>
        <x:v>0</x:v>
      </x:c>
      <x:c r="Q31" s="497" t="n">
        <x:f>IF($S31="No",0,SUMIF('Cost Drivers'!$B$48:$B$105,$K31,'Cost Drivers'!$E$48:$E$105)*$P31)</x:f>
        <x:v>0</x:v>
      </x:c>
      <x:c r="R31" s="497" t="n">
        <x:f>IF($S31="No",0,SUMIF('Cost Drivers'!$B$48:$B$105,$K31,'Cost Drivers'!$F$48:$F$105)*$P31)</x:f>
        <x:v>0</x:v>
      </x:c>
      <x:c r="S31" s="492" t="str">
        <x:v>No</x:v>
      </x:c>
      <x:c r="T31" s="470" t="str">
        <x:f>IF($S31="No","Disabled",IF('Cost Center'!$F$5="Planning",IF($M31="","Missing","Planning"),IF('Cost Center'!$F$5="Contracted",IF($N31="","Missing","Contracted"),IF($O31="","Missing","Actual"))))</x:f>
        <x:v>Disabled</x:v>
      </x:c>
      <x:c r="U31" s="470" t="str">
        <x:v>https://stripe.com/pricing</x:v>
      </x:c>
      <x:c r="V31" s="470" t="str">
        <x:v>Optional public benchmark; enable only if charged separately.</x:v>
      </x:c>
    </x:row>
    <x:row r="32" ht="42" customHeight="1">
      <x:c r="A32" s="448"/>
      <x:c r="B32" s="464" t="str">
        <x:v>P014</x:v>
      </x:c>
      <x:c r="C32" s="464" t="str">
        <x:v>Seller Ops &amp; Risk</x:v>
      </x:c>
      <x:c r="D32" s="464" t="str">
        <x:v>PayFac</x:v>
      </x:c>
      <x:c r="E32" s="464" t="str">
        <x:v>Get Paid</x:v>
      </x:c>
      <x:c r="F32" s="464" t="str">
        <x:v>Vendor &amp; processing</x:v>
      </x:c>
      <x:c r="G32" s="464" t="str">
        <x:v>Seller</x:v>
      </x:c>
      <x:c r="H32" s="464" t="str">
        <x:v>Fraud screening</x:v>
      </x:c>
      <x:c r="I32" s="464" t="str">
        <x:v>Fraud screening fee</x:v>
      </x:c>
      <x:c r="J32" s="464" t="str">
        <x:v>Fraud vendor</x:v>
      </x:c>
      <x:c r="K32" s="464" t="str">
        <x:v>SALE_AUTH_ATTEMPTS</x:v>
      </x:c>
      <x:c r="L32" s="464" t="str">
        <x:v>attempts</x:v>
      </x:c>
      <x:c r="M32" s="485" t="n">
        <x:v>0.02</x:v>
      </x:c>
      <x:c r="N32" s="485"/>
      <x:c r="O32" s="485"/>
      <x:c r="P32" s="499" t="n">
        <x:f>IF($S32="No",0,IF('Cost Center'!$F$5="Planning",IF($M32="",0,$M32),IF('Cost Center'!$F$5="Contracted",IF($N32="",0,$N32),IF($O32="",0,$O32))))</x:f>
        <x:v>0</x:v>
      </x:c>
      <x:c r="Q32" s="491" t="n">
        <x:f>IF($S32="No",0,SUMIF('Cost Drivers'!$B$48:$B$105,$K32,'Cost Drivers'!$E$48:$E$105)*$P32)</x:f>
        <x:v>0</x:v>
      </x:c>
      <x:c r="R32" s="491" t="n">
        <x:f>IF($S32="No",0,SUMIF('Cost Drivers'!$B$48:$B$105,$K32,'Cost Drivers'!$F$48:$F$105)*$P32)</x:f>
        <x:v>0</x:v>
      </x:c>
      <x:c r="S32" s="492" t="str">
        <x:v>No</x:v>
      </x:c>
      <x:c r="T32" s="464" t="str">
        <x:f>IF($S32="No","Disabled",IF('Cost Center'!$F$5="Planning",IF($M32="","Missing","Planning"),IF('Cost Center'!$F$5="Contracted",IF($N32="","Missing","Contracted"),IF($O32="","Missing","Actual"))))</x:f>
        <x:v>Disabled</x:v>
      </x:c>
      <x:c r="U32" s="464" t="str">
        <x:v>https://stripe.com/pricing</x:v>
      </x:c>
      <x:c r="V32" s="464" t="str">
        <x:v>Optional benchmark; disable if included in processor price.</x:v>
      </x:c>
    </x:row>
    <x:row r="33" ht="42" customHeight="1">
      <x:c r="A33" s="448"/>
      <x:c r="B33" s="470" t="str">
        <x:v>P015</x:v>
      </x:c>
      <x:c r="C33" s="470" t="str">
        <x:v>Seller Ops &amp; Risk</x:v>
      </x:c>
      <x:c r="D33" s="470" t="str">
        <x:v>PayFac</x:v>
      </x:c>
      <x:c r="E33" s="470" t="str">
        <x:v>Serve &amp; Protect</x:v>
      </x:c>
      <x:c r="F33" s="470" t="str">
        <x:v>Vendor &amp; processing</x:v>
      </x:c>
      <x:c r="G33" s="470" t="str">
        <x:v>Seller</x:v>
      </x:c>
      <x:c r="H33" s="470" t="str">
        <x:v>Disputes</x:v>
      </x:c>
      <x:c r="I33" s="470" t="str">
        <x:v>Dispute vendor fee</x:v>
      </x:c>
      <x:c r="J33" s="470" t="str">
        <x:v>Processor / network</x:v>
      </x:c>
      <x:c r="K33" s="470" t="str">
        <x:v>PAYFAC_DISPUTES</x:v>
      </x:c>
      <x:c r="L33" s="470" t="str">
        <x:v>events</x:v>
      </x:c>
      <x:c r="M33" s="485" t="n">
        <x:v>15</x:v>
      </x:c>
      <x:c r="N33" s="485"/>
      <x:c r="O33" s="485"/>
      <x:c r="P33" s="501" t="n">
        <x:f>IF($S33="No",0,IF('Cost Center'!$F$5="Planning",IF($M33="",0,$M33),IF('Cost Center'!$F$5="Contracted",IF($N33="",0,$N33),IF($O33="",0,$O33))))</x:f>
        <x:v>0</x:v>
      </x:c>
      <x:c r="Q33" s="497" t="n">
        <x:f>IF($S33="No",0,SUMIF('Cost Drivers'!$B$48:$B$105,$K33,'Cost Drivers'!$E$48:$E$105)*$P33)</x:f>
        <x:v>0</x:v>
      </x:c>
      <x:c r="R33" s="497" t="n">
        <x:f>IF($S33="No",0,SUMIF('Cost Drivers'!$B$48:$B$105,$K33,'Cost Drivers'!$F$48:$F$105)*$P33)</x:f>
        <x:v>0</x:v>
      </x:c>
      <x:c r="S33" s="492" t="str">
        <x:v>No</x:v>
      </x:c>
      <x:c r="T33" s="470" t="str">
        <x:f>IF($S33="No","Disabled",IF('Cost Center'!$F$5="Planning",IF($M33="","Missing","Planning"),IF('Cost Center'!$F$5="Contracted",IF($N33="","Missing","Contracted"),IF($O33="","Missing","Actual"))))</x:f>
        <x:v>Disabled</x:v>
      </x:c>
      <x:c r="U33" s="470" t="str">
        <x:v>https://stripe.com/pricing</x:v>
      </x:c>
      <x:c r="V33" s="470" t="str">
        <x:v>Alternative public benchmark; do not combine when provider includes disputes.</x:v>
      </x:c>
    </x:row>
    <x:row r="34" ht="42" customHeight="1">
      <x:c r="A34" s="448"/>
      <x:c r="B34" s="464" t="str">
        <x:v>P016</x:v>
      </x:c>
      <x:c r="C34" s="464" t="str">
        <x:v>Technology &amp; Data</x:v>
      </x:c>
      <x:c r="D34" s="464" t="str">
        <x:v>PayFac</x:v>
      </x:c>
      <x:c r="E34" s="464" t="str">
        <x:v>Get Paid</x:v>
      </x:c>
      <x:c r="F34" s="464" t="str">
        <x:v>Technology &amp; data</x:v>
      </x:c>
      <x:c r="G34" s="464" t="str">
        <x:v>Seller</x:v>
      </x:c>
      <x:c r="H34" s="464" t="str">
        <x:v>Invoices</x:v>
      </x:c>
      <x:c r="I34" s="464" t="str">
        <x:v>Invoicing platform fee</x:v>
      </x:c>
      <x:c r="J34" s="464" t="str">
        <x:v>Billing vendor</x:v>
      </x:c>
      <x:c r="K34" s="464" t="str">
        <x:v>SALES_$</x:v>
      </x:c>
      <x:c r="L34" s="464" t="str">
        <x:v>USD</x:v>
      </x:c>
      <x:c r="M34" s="486" t="n">
        <x:v>0.004</x:v>
      </x:c>
      <x:c r="N34" s="486"/>
      <x:c r="O34" s="486"/>
      <x:c r="P34" s="488" t="n">
        <x:f>IF($S34="No",0,IF('Cost Center'!$F$5="Planning",IF($M34="",0,$M34),IF('Cost Center'!$F$5="Contracted",IF($N34="",0,$N34),IF($O34="",0,$O34))))</x:f>
        <x:v>0</x:v>
      </x:c>
      <x:c r="Q34" s="491" t="n">
        <x:f>IF($S34="No",0,SUMIF('Cost Drivers'!$B$48:$B$105,$K34,'Cost Drivers'!$E$48:$E$105)*$P34)</x:f>
        <x:v>0</x:v>
      </x:c>
      <x:c r="R34" s="491" t="n">
        <x:f>IF($S34="No",0,SUMIF('Cost Drivers'!$B$48:$B$105,$K34,'Cost Drivers'!$F$48:$F$105)*$P34)</x:f>
        <x:v>0</x:v>
      </x:c>
      <x:c r="S34" s="492" t="str">
        <x:v>No</x:v>
      </x:c>
      <x:c r="T34" s="464" t="str">
        <x:f>IF($S34="No","Disabled",IF('Cost Center'!$F$5="Planning",IF($M34="","Missing","Planning"),IF('Cost Center'!$F$5="Contracted",IF($N34="","Missing","Contracted"),IF($O34="","Missing","Actual"))))</x:f>
        <x:v>Disabled</x:v>
      </x:c>
      <x:c r="U34" s="464" t="str">
        <x:v>https://stripe.com/pricing</x:v>
      </x:c>
      <x:c r="V34" s="464" t="str">
        <x:v>Enable only for invoice volume actually using a priced invoicing layer.</x:v>
      </x:c>
    </x:row>
    <x:row r="35" ht="42" customHeight="1">
      <x:c r="A35" s="448"/>
      <x:c r="B35" s="470" t="str">
        <x:v>P017</x:v>
      </x:c>
      <x:c r="C35" s="470" t="str">
        <x:v>Seller Ops &amp; Risk</x:v>
      </x:c>
      <x:c r="D35" s="470" t="str">
        <x:v>PayFac</x:v>
      </x:c>
      <x:c r="E35" s="470" t="str">
        <x:v>Get Paid</x:v>
      </x:c>
      <x:c r="F35" s="470" t="str">
        <x:v>Vendor &amp; processing</x:v>
      </x:c>
      <x:c r="G35" s="470" t="str">
        <x:v>Seller</x:v>
      </x:c>
      <x:c r="H35" s="470" t="str">
        <x:v>ACH</x:v>
      </x:c>
      <x:c r="I35" s="470" t="str">
        <x:v>ACH processing percentage</x:v>
      </x:c>
      <x:c r="J35" s="470" t="str">
        <x:v>Bank-payment provider</x:v>
      </x:c>
      <x:c r="K35" s="470" t="str">
        <x:v>ACH_SALES_$</x:v>
      </x:c>
      <x:c r="L35" s="470" t="str">
        <x:v>USD</x:v>
      </x:c>
      <x:c r="M35" s="486" t="n">
        <x:v>0.008</x:v>
      </x:c>
      <x:c r="N35" s="486"/>
      <x:c r="O35" s="486"/>
      <x:c r="P35" s="494" t="n">
        <x:f>IF($S35="No",0,IF('Cost Center'!$F$5="Planning",IF($M35="",0,$M35),IF('Cost Center'!$F$5="Contracted",IF($N35="",0,$N35),IF($O35="",0,$O35))))</x:f>
        <x:v>0</x:v>
      </x:c>
      <x:c r="Q35" s="497" t="n">
        <x:f>IF($S35="No",0,SUMIF('Cost Drivers'!$B$48:$B$105,$K35,'Cost Drivers'!$E$48:$E$105)*$P35)</x:f>
        <x:v>0</x:v>
      </x:c>
      <x:c r="R35" s="497" t="n">
        <x:f>IF($S35="No",0,SUMIF('Cost Drivers'!$B$48:$B$105,$K35,'Cost Drivers'!$F$48:$F$105)*$P35)</x:f>
        <x:v>0</x:v>
      </x:c>
      <x:c r="S35" s="492" t="str">
        <x:v>No</x:v>
      </x:c>
      <x:c r="T35" s="470" t="str">
        <x:f>IF($S35="No","Disabled",IF('Cost Center'!$F$5="Planning",IF($M35="","Missing","Planning"),IF('Cost Center'!$F$5="Contracted",IF($N35="","Missing","Contracted"),IF($O35="","Missing","Actual"))))</x:f>
        <x:v>Disabled</x:v>
      </x:c>
      <x:c r="U35" s="470" t="str">
        <x:v>https://stripe.com/pricing</x:v>
      </x:c>
      <x:c r="V35" s="470" t="str">
        <x:v>Cap is not modeled; add a tiered row if activated.</x:v>
      </x:c>
    </x:row>
    <x:row r="36" ht="42" customHeight="1">
      <x:c r="A36" s="448"/>
      <x:c r="B36" s="464" t="str">
        <x:v>P018</x:v>
      </x:c>
      <x:c r="C36" s="464" t="str">
        <x:v>Seller Ops &amp; Risk</x:v>
      </x:c>
      <x:c r="D36" s="464" t="str">
        <x:v>PayFac</x:v>
      </x:c>
      <x:c r="E36" s="464" t="str">
        <x:v>Get Paid</x:v>
      </x:c>
      <x:c r="F36" s="464" t="str">
        <x:v>Vendor &amp; processing</x:v>
      </x:c>
      <x:c r="G36" s="464" t="str">
        <x:v>Seller</x:v>
      </x:c>
      <x:c r="H36" s="464" t="str">
        <x:v>ACH</x:v>
      </x:c>
      <x:c r="I36" s="464" t="str">
        <x:v>ACH account validation</x:v>
      </x:c>
      <x:c r="J36" s="464" t="str">
        <x:v>Bank-data provider</x:v>
      </x:c>
      <x:c r="K36" s="464" t="str">
        <x:v>ACH_TRANSACTIONS</x:v>
      </x:c>
      <x:c r="L36" s="464" t="str">
        <x:v>transactions</x:v>
      </x:c>
      <x:c r="M36" s="485" t="n">
        <x:v>1.5</x:v>
      </x:c>
      <x:c r="N36" s="485"/>
      <x:c r="O36" s="485"/>
      <x:c r="P36" s="499" t="n">
        <x:f>IF($S36="No",0,IF('Cost Center'!$F$5="Planning",IF($M36="",0,$M36),IF('Cost Center'!$F$5="Contracted",IF($N36="",0,$N36),IF($O36="",0,$O36))))</x:f>
        <x:v>0</x:v>
      </x:c>
      <x:c r="Q36" s="491" t="n">
        <x:f>IF($S36="No",0,SUMIF('Cost Drivers'!$B$48:$B$105,$K36,'Cost Drivers'!$E$48:$E$105)*$P36)</x:f>
        <x:v>0</x:v>
      </x:c>
      <x:c r="R36" s="491" t="n">
        <x:f>IF($S36="No",0,SUMIF('Cost Drivers'!$B$48:$B$105,$K36,'Cost Drivers'!$F$48:$F$105)*$P36)</x:f>
        <x:v>0</x:v>
      </x:c>
      <x:c r="S36" s="492" t="str">
        <x:v>No</x:v>
      </x:c>
      <x:c r="T36" s="464" t="str">
        <x:f>IF($S36="No","Disabled",IF('Cost Center'!$F$5="Planning",IF($M36="","Missing","Planning"),IF('Cost Center'!$F$5="Contracted",IF($N36="","Missing","Contracted"),IF($O36="","Missing","Actual"))))</x:f>
        <x:v>Disabled</x:v>
      </x:c>
      <x:c r="U36" s="464" t="str">
        <x:v>https://stripe.com/pricing</x:v>
      </x:c>
      <x:c r="V36" s="464" t="str">
        <x:v>Optional public benchmark.</x:v>
      </x:c>
    </x:row>
    <x:row r="37" ht="42" customHeight="1">
      <x:c r="A37" s="448"/>
      <x:c r="B37" s="470" t="str">
        <x:v>P019</x:v>
      </x:c>
      <x:c r="C37" s="470" t="str">
        <x:v>Seller Ops &amp; Risk</x:v>
      </x:c>
      <x:c r="D37" s="470" t="str">
        <x:v>PayFac</x:v>
      </x:c>
      <x:c r="E37" s="470" t="str">
        <x:v>Get Paid</x:v>
      </x:c>
      <x:c r="F37" s="470" t="str">
        <x:v>Vendor &amp; processing</x:v>
      </x:c>
      <x:c r="G37" s="470" t="str">
        <x:v>Seller</x:v>
      </x:c>
      <x:c r="H37" s="470" t="str">
        <x:v>Instant payout</x:v>
      </x:c>
      <x:c r="I37" s="470" t="str">
        <x:v>Instant payout percentage</x:v>
      </x:c>
      <x:c r="J37" s="470" t="str">
        <x:v>Payout provider</x:v>
      </x:c>
      <x:c r="K37" s="470" t="str">
        <x:v>INSTANT_PAYOUT_$</x:v>
      </x:c>
      <x:c r="L37" s="470" t="str">
        <x:v>USD</x:v>
      </x:c>
      <x:c r="M37" s="486" t="n">
        <x:v>0.015</x:v>
      </x:c>
      <x:c r="N37" s="486"/>
      <x:c r="O37" s="486"/>
      <x:c r="P37" s="494" t="n">
        <x:f>IF($S37="No",0,IF('Cost Center'!$F$5="Planning",IF($M37="",0,$M37),IF('Cost Center'!$F$5="Contracted",IF($N37="",0,$N37),IF($O37="",0,$O37))))</x:f>
        <x:v>0</x:v>
      </x:c>
      <x:c r="Q37" s="497" t="n">
        <x:f>IF($S37="No",0,SUMIF('Cost Drivers'!$B$48:$B$105,$K37,'Cost Drivers'!$E$48:$E$105)*$P37)</x:f>
        <x:v>0</x:v>
      </x:c>
      <x:c r="R37" s="497" t="n">
        <x:f>IF($S37="No",0,SUMIF('Cost Drivers'!$B$48:$B$105,$K37,'Cost Drivers'!$F$48:$F$105)*$P37)</x:f>
        <x:v>0</x:v>
      </x:c>
      <x:c r="S37" s="492" t="str">
        <x:v>No</x:v>
      </x:c>
      <x:c r="T37" s="470" t="str">
        <x:f>IF($S37="No","Disabled",IF('Cost Center'!$F$5="Planning",IF($M37="","Missing","Planning"),IF('Cost Center'!$F$5="Contracted",IF($N37="","Missing","Contracted"),IF($O37="","Missing","Actual"))))</x:f>
        <x:v>Disabled</x:v>
      </x:c>
      <x:c r="U37" s="470" t="str">
        <x:v>https://stripe.com/pricing</x:v>
      </x:c>
      <x:c r="V37" s="470" t="str">
        <x:v>Pricing differs by platform; enable only when offered.</x:v>
      </x:c>
    </x:row>
    <x:row r="38" ht="42" customHeight="1">
      <x:c r="A38" s="448"/>
      <x:c r="B38" s="464" t="str">
        <x:v>P020</x:v>
      </x:c>
      <x:c r="C38" s="464" t="str">
        <x:v>Seller Ops &amp; Risk</x:v>
      </x:c>
      <x:c r="D38" s="464" t="str">
        <x:v>PayFac</x:v>
      </x:c>
      <x:c r="E38" s="464" t="str">
        <x:v>Get Paid</x:v>
      </x:c>
      <x:c r="F38" s="464" t="str">
        <x:v>Vendor &amp; processing</x:v>
      </x:c>
      <x:c r="G38" s="464" t="str">
        <x:v>Seller</x:v>
      </x:c>
      <x:c r="H38" s="464" t="str">
        <x:v>Hardware</x:v>
      </x:c>
      <x:c r="I38" s="464" t="str">
        <x:v>Terminal / hardware unit</x:v>
      </x:c>
      <x:c r="J38" s="464" t="str">
        <x:v>Hardware vendor</x:v>
      </x:c>
      <x:c r="K38" s="464" t="str">
        <x:v>HARDWARE_UNITS</x:v>
      </x:c>
      <x:c r="L38" s="464" t="str">
        <x:v>units</x:v>
      </x:c>
      <x:c r="M38" s="485"/>
      <x:c r="N38" s="485"/>
      <x:c r="O38" s="485"/>
      <x:c r="P38" s="499" t="n">
        <x:f>IF($S38="No",0,IF('Cost Center'!$F$5="Planning",IF($M38="",0,$M38),IF('Cost Center'!$F$5="Contracted",IF($N38="",0,$N38),IF($O38="",0,$O38))))</x:f>
        <x:v>0</x:v>
      </x:c>
      <x:c r="Q38" s="491" t="n">
        <x:f>IF($S38="No",0,SUMIF('Cost Drivers'!$B$48:$B$105,$K38,'Cost Drivers'!$E$48:$E$105)*$P38)</x:f>
        <x:v>0</x:v>
      </x:c>
      <x:c r="R38" s="491" t="n">
        <x:f>IF($S38="No",0,SUMIF('Cost Drivers'!$B$48:$B$105,$K38,'Cost Drivers'!$F$48:$F$105)*$P38)</x:f>
        <x:v>0</x:v>
      </x:c>
      <x:c r="S38" s="492" t="str">
        <x:v>No</x:v>
      </x:c>
      <x:c r="T38" s="464" t="str">
        <x:f>IF($S38="No","Disabled",IF('Cost Center'!$F$5="Planning",IF($M38="","Missing","Planning"),IF('Cost Center'!$F$5="Contracted",IF($N38="","Missing","Contracted"),IF($O38="","Missing","Actual"))))</x:f>
        <x:v>Disabled</x:v>
      </x:c>
      <x:c r="U38" s="464" t="str">
        <x:v>Contract required</x:v>
      </x:c>
      <x:c r="V38" s="464" t="str">
        <x:v>Future in-person acceptance.</x:v>
      </x:c>
    </x:row>
    <x:row r="39" ht="42" customHeight="1">
      <x:c r="A39" s="448"/>
      <x:c r="B39" s="470" t="str">
        <x:v>P021</x:v>
      </x:c>
      <x:c r="C39" s="470" t="str">
        <x:v>Seller Ops &amp; Risk</x:v>
      </x:c>
      <x:c r="D39" s="470" t="str">
        <x:v>PayFac</x:v>
      </x:c>
      <x:c r="E39" s="470" t="str">
        <x:v>Verify &amp; Activate</x:v>
      </x:c>
      <x:c r="F39" s="470" t="str">
        <x:v>Vendor &amp; processing</x:v>
      </x:c>
      <x:c r="G39" s="470" t="str">
        <x:v>Seller</x:v>
      </x:c>
      <x:c r="H39" s="470" t="str">
        <x:v>Program</x:v>
      </x:c>
      <x:c r="I39" s="470" t="str">
        <x:v>Sponsor / acquirer program fee</x:v>
      </x:c>
      <x:c r="J39" s="470" t="str">
        <x:v>Sponsor acquirer</x:v>
      </x:c>
      <x:c r="K39" s="470" t="str">
        <x:v>PROGRAMS</x:v>
      </x:c>
      <x:c r="L39" s="470" t="str">
        <x:v>programs</x:v>
      </x:c>
      <x:c r="M39" s="485"/>
      <x:c r="N39" s="485"/>
      <x:c r="O39" s="485"/>
      <x:c r="P39" s="501" t="n">
        <x:f>IF($S39="No",0,IF('Cost Center'!$F$5="Planning",IF($M39="",0,$M39),IF('Cost Center'!$F$5="Contracted",IF($N39="",0,$N39),IF($O39="",0,$O39))))</x:f>
        <x:v>0</x:v>
      </x:c>
      <x:c r="Q39" s="497" t="n">
        <x:f>IF($S39="No",0,SUMIF('Cost Drivers'!$B$48:$B$105,$K39,'Cost Drivers'!$E$48:$E$105)*$P39)</x:f>
        <x:v>0</x:v>
      </x:c>
      <x:c r="R39" s="497" t="n">
        <x:f>IF($S39="No",0,SUMIF('Cost Drivers'!$B$48:$B$105,$K39,'Cost Drivers'!$F$48:$F$105)*$P39)</x:f>
        <x:v>0</x:v>
      </x:c>
      <x:c r="S39" s="492" t="str">
        <x:v>Yes</x:v>
      </x:c>
      <x:c r="T39" s="470" t="str">
        <x:f>IF($S39="No","Disabled",IF('Cost Center'!$F$5="Planning",IF($M39="","Missing","Planning"),IF('Cost Center'!$F$5="Contracted",IF($N39="","Missing","Contracted"),IF($O39="","Missing","Actual"))))</x:f>
        <x:v>Missing</x:v>
      </x:c>
      <x:c r="U39" s="470" t="str">
        <x:v>Contract required</x:v>
      </x:c>
      <x:c r="V39" s="470" t="str">
        <x:v>Annual sponsor or registration cost.</x:v>
      </x:c>
    </x:row>
    <x:row r="40" ht="42" customHeight="1">
      <x:c r="A40" s="448"/>
      <x:c r="B40" s="464" t="str">
        <x:v>P022</x:v>
      </x:c>
      <x:c r="C40" s="464" t="str">
        <x:v>Seller Ops &amp; Risk</x:v>
      </x:c>
      <x:c r="D40" s="464" t="str">
        <x:v>PayFac</x:v>
      </x:c>
      <x:c r="E40" s="464" t="str">
        <x:v>Get Paid</x:v>
      </x:c>
      <x:c r="F40" s="464" t="str">
        <x:v>Vendor &amp; processing</x:v>
      </x:c>
      <x:c r="G40" s="464" t="str">
        <x:v>Seller</x:v>
      </x:c>
      <x:c r="H40" s="464" t="str">
        <x:v>Program</x:v>
      </x:c>
      <x:c r="I40" s="464" t="str">
        <x:v>Platform monthly minimum</x:v>
      </x:c>
      <x:c r="J40" s="464" t="str">
        <x:v>Acquiring processor</x:v>
      </x:c>
      <x:c r="K40" s="464" t="str">
        <x:v>ACTIVE_MONTHS</x:v>
      </x:c>
      <x:c r="L40" s="464" t="str">
        <x:v>months</x:v>
      </x:c>
      <x:c r="M40" s="485"/>
      <x:c r="N40" s="485"/>
      <x:c r="O40" s="485"/>
      <x:c r="P40" s="499" t="n">
        <x:f>IF($S40="No",0,IF('Cost Center'!$F$5="Planning",IF($M40="",0,$M40),IF('Cost Center'!$F$5="Contracted",IF($N40="",0,$N40),IF($O40="",0,$O40))))</x:f>
        <x:v>0</x:v>
      </x:c>
      <x:c r="Q40" s="491" t="n">
        <x:f>IF($S40="No",0,SUMIF('Cost Drivers'!$B$48:$B$105,$K40,'Cost Drivers'!$E$48:$E$105)*$P40)</x:f>
        <x:v>0</x:v>
      </x:c>
      <x:c r="R40" s="491" t="n">
        <x:f>IF($S40="No",0,SUMIF('Cost Drivers'!$B$48:$B$105,$K40,'Cost Drivers'!$F$48:$F$105)*$P40)</x:f>
        <x:v>0</x:v>
      </x:c>
      <x:c r="S40" s="492" t="str">
        <x:v>Yes</x:v>
      </x:c>
      <x:c r="T40" s="464" t="str">
        <x:f>IF($S40="No","Disabled",IF('Cost Center'!$F$5="Planning",IF($M40="","Missing","Planning"),IF('Cost Center'!$F$5="Contracted",IF($N40="","Missing","Contracted"),IF($O40="","Missing","Actual"))))</x:f>
        <x:v>Missing</x:v>
      </x:c>
      <x:c r="U40" s="464" t="str">
        <x:v>Contract required</x:v>
      </x:c>
      <x:c r="V40" s="464" t="str">
        <x:v>Enter monthly minimum only if it is incremental.</x:v>
      </x:c>
    </x:row>
    <x:row r="41" ht="42" customHeight="1">
      <x:c r="A41" s="448"/>
      <x:c r="B41" s="470" t="str">
        <x:v>P023</x:v>
      </x:c>
      <x:c r="C41" s="470" t="str">
        <x:v>Compliance &amp; Finance</x:v>
      </x:c>
      <x:c r="D41" s="470" t="str">
        <x:v>PayFac</x:v>
      </x:c>
      <x:c r="E41" s="470" t="str">
        <x:v>Serve &amp; Protect</x:v>
      </x:c>
      <x:c r="F41" s="470" t="str">
        <x:v>Compliance &amp; legal</x:v>
      </x:c>
      <x:c r="G41" s="470" t="str">
        <x:v>Seller</x:v>
      </x:c>
      <x:c r="H41" s="470" t="str">
        <x:v>Compliance</x:v>
      </x:c>
      <x:c r="I41" s="470" t="str">
        <x:v>PCI / compliance monitoring</x:v>
      </x:c>
      <x:c r="J41" s="470" t="str">
        <x:v>Compliance vendor</x:v>
      </x:c>
      <x:c r="K41" s="470" t="str">
        <x:v>SELLER_PROFILE_MONTHS</x:v>
      </x:c>
      <x:c r="L41" s="470" t="str">
        <x:v>seller-months</x:v>
      </x:c>
      <x:c r="M41" s="485"/>
      <x:c r="N41" s="485"/>
      <x:c r="O41" s="485"/>
      <x:c r="P41" s="501" t="n">
        <x:f>IF($S41="No",0,IF('Cost Center'!$F$5="Planning",IF($M41="",0,$M41),IF('Cost Center'!$F$5="Contracted",IF($N41="",0,$N41),IF($O41="",0,$O41))))</x:f>
        <x:v>0</x:v>
      </x:c>
      <x:c r="Q41" s="497" t="n">
        <x:f>IF($S41="No",0,SUMIF('Cost Drivers'!$B$48:$B$105,$K41,'Cost Drivers'!$E$48:$E$105)*$P41)</x:f>
        <x:v>0</x:v>
      </x:c>
      <x:c r="R41" s="497" t="n">
        <x:f>IF($S41="No",0,SUMIF('Cost Drivers'!$B$48:$B$105,$K41,'Cost Drivers'!$F$48:$F$105)*$P41)</x:f>
        <x:v>0</x:v>
      </x:c>
      <x:c r="S41" s="492" t="str">
        <x:v>Yes</x:v>
      </x:c>
      <x:c r="T41" s="470" t="str">
        <x:f>IF($S41="No","Disabled",IF('Cost Center'!$F$5="Planning",IF($M41="","Missing","Planning"),IF('Cost Center'!$F$5="Contracted",IF($N41="","Missing","Contracted"),IF($O41="","Missing","Actual"))))</x:f>
        <x:v>Missing</x:v>
      </x:c>
      <x:c r="U41" s="470" t="str">
        <x:v>Contract required</x:v>
      </x:c>
      <x:c r="V41" s="470" t="str">
        <x:v>Can be bundled; confirm treatment.</x:v>
      </x:c>
    </x:row>
    <x:row r="42" ht="42" customHeight="1">
      <x:c r="A42" s="448"/>
      <x:c r="B42" s="464" t="str">
        <x:v>P024</x:v>
      </x:c>
      <x:c r="C42" s="464" t="str">
        <x:v>Compliance &amp; Finance</x:v>
      </x:c>
      <x:c r="D42" s="464" t="str">
        <x:v>PayFac</x:v>
      </x:c>
      <x:c r="E42" s="464" t="str">
        <x:v>Get Paid</x:v>
      </x:c>
      <x:c r="F42" s="464" t="str">
        <x:v>Funding &amp; liquidity</x:v>
      </x:c>
      <x:c r="G42" s="464" t="str">
        <x:v>Seller</x:v>
      </x:c>
      <x:c r="H42" s="464" t="str">
        <x:v>Reserves</x:v>
      </x:c>
      <x:c r="I42" s="464" t="str">
        <x:v>Reserve funding cost</x:v>
      </x:c>
      <x:c r="J42" s="464" t="str">
        <x:v>Treasury / capital</x:v>
      </x:c>
      <x:c r="K42" s="464" t="str">
        <x:v>COLLATERAL_BALANCE_$</x:v>
      </x:c>
      <x:c r="L42" s="464" t="str">
        <x:v>USD average</x:v>
      </x:c>
      <x:c r="M42" s="486"/>
      <x:c r="N42" s="486"/>
      <x:c r="O42" s="486"/>
      <x:c r="P42" s="488" t="n">
        <x:f>IF($S42="No",0,IF('Cost Center'!$F$5="Planning",IF($M42="",0,$M42),IF('Cost Center'!$F$5="Contracted",IF($N42="",0,$N42),IF($O42="",0,$O42))))</x:f>
        <x:v>0</x:v>
      </x:c>
      <x:c r="Q42" s="491" t="n">
        <x:f>IF($S42="No",0,SUMIF('Cost Drivers'!$B$48:$B$105,$K42,'Cost Drivers'!$E$48:$E$105)*$P42)</x:f>
        <x:v>0</x:v>
      </x:c>
      <x:c r="R42" s="491" t="n">
        <x:f>IF($S42="No",0,SUMIF('Cost Drivers'!$B$48:$B$105,$K42,'Cost Drivers'!$F$48:$F$105)*$P42)</x:f>
        <x:v>0</x:v>
      </x:c>
      <x:c r="S42" s="492" t="str">
        <x:v>Yes</x:v>
      </x:c>
      <x:c r="T42" s="464" t="str">
        <x:f>IF($S42="No","Disabled",IF('Cost Center'!$F$5="Planning",IF($M42="","Missing","Planning"),IF('Cost Center'!$F$5="Contracted",IF($N42="","Missing","Contracted"),IF($O42="","Missing","Actual"))))</x:f>
        <x:v>Missing</x:v>
      </x:c>
      <x:c r="U42" s="464" t="str">
        <x:v>Management input required</x:v>
      </x:c>
      <x:c r="V42" s="464" t="str">
        <x:v>Use a separate reserve-balance driver when known.</x:v>
      </x:c>
    </x:row>
    <x:row r="43" ht="42" customHeight="1">
      <x:c r="A43" s="448"/>
      <x:c r="B43" s="470" t="str">
        <x:v>P025</x:v>
      </x:c>
      <x:c r="C43" s="470" t="str">
        <x:v>Partner &amp; Channel</x:v>
      </x:c>
      <x:c r="D43" s="470" t="str">
        <x:v>Partner</x:v>
      </x:c>
      <x:c r="E43" s="470" t="str">
        <x:v>Get Paid</x:v>
      </x:c>
      <x:c r="F43" s="470" t="str">
        <x:v>Partner &amp; channel</x:v>
      </x:c>
      <x:c r="G43" s="470" t="str">
        <x:v>Seller</x:v>
      </x:c>
      <x:c r="H43" s="470" t="str">
        <x:v>Wholesale partner</x:v>
      </x:c>
      <x:c r="I43" s="470" t="str">
        <x:v>Partner share of provider fees</x:v>
      </x:c>
      <x:c r="J43" s="470" t="str">
        <x:v>Partner</x:v>
      </x:c>
      <x:c r="K43" s="470" t="str">
        <x:v>PARTNER_PROVIDER_FEES_$</x:v>
      </x:c>
      <x:c r="L43" s="470" t="str">
        <x:v>USD</x:v>
      </x:c>
      <x:c r="M43" s="486" t="n">
        <x:v>0</x:v>
      </x:c>
      <x:c r="N43" s="486"/>
      <x:c r="O43" s="486"/>
      <x:c r="P43" s="494" t="n">
        <x:f>IF($S43="No",0,IF('Cost Center'!$F$5="Planning",IF($M43="",0,$M43),IF('Cost Center'!$F$5="Contracted",IF($N43="",0,$N43),IF($O43="",0,$O43))))</x:f>
        <x:v>0</x:v>
      </x:c>
      <x:c r="Q43" s="497" t="n">
        <x:f>IF($S43="No",0,SUMIF('Cost Drivers'!$B$48:$B$105,$K43,'Cost Drivers'!$E$48:$E$105)*$P43)</x:f>
        <x:v>0</x:v>
      </x:c>
      <x:c r="R43" s="497" t="n">
        <x:f>IF($S43="No",0,SUMIF('Cost Drivers'!$B$48:$B$105,$K43,'Cost Drivers'!$F$48:$F$105)*$P43)</x:f>
        <x:v>0</x:v>
      </x:c>
      <x:c r="S43" s="492" t="str">
        <x:v>No</x:v>
      </x:c>
      <x:c r="T43" s="470" t="str">
        <x:f>IF($S43="No","Disabled",IF('Cost Center'!$F$5="Planning",IF($M43="","Missing","Planning"),IF('Cost Center'!$F$5="Contracted",IF($N43="","Missing","Contracted"),IF($O43="","Missing","Actual"))))</x:f>
        <x:v>Disabled</x:v>
      </x:c>
      <x:c r="U43" s="470" t="str">
        <x:v>Future program</x:v>
      </x:c>
      <x:c r="V43" s="470" t="str">
        <x:v>Enable for referral, reseller or co-branded economics.</x:v>
      </x:c>
    </x:row>
    <x:row r="44" ht="42" customHeight="1">
      <x:c r="A44" s="448"/>
      <x:c r="B44" s="464" t="str">
        <x:v>P026</x:v>
      </x:c>
      <x:c r="C44" s="464" t="str">
        <x:v>Partner &amp; Channel</x:v>
      </x:c>
      <x:c r="D44" s="464" t="str">
        <x:v>Partner</x:v>
      </x:c>
      <x:c r="E44" s="464" t="str">
        <x:v>Verify &amp; Activate</x:v>
      </x:c>
      <x:c r="F44" s="464" t="str">
        <x:v>Partner &amp; channel</x:v>
      </x:c>
      <x:c r="G44" s="464" t="str">
        <x:v>Cross-platform</x:v>
      </x:c>
      <x:c r="H44" s="464" t="str">
        <x:v>Wholesale partner</x:v>
      </x:c>
      <x:c r="I44" s="464" t="str">
        <x:v>Partner onboarding cost</x:v>
      </x:c>
      <x:c r="J44" s="464" t="str">
        <x:v>Partner operations</x:v>
      </x:c>
      <x:c r="K44" s="464" t="str">
        <x:v>PARTNER_PROGRAMS</x:v>
      </x:c>
      <x:c r="L44" s="464" t="str">
        <x:v>programs</x:v>
      </x:c>
      <x:c r="M44" s="485" t="n">
        <x:v>0</x:v>
      </x:c>
      <x:c r="N44" s="485"/>
      <x:c r="O44" s="485"/>
      <x:c r="P44" s="499" t="n">
        <x:f>IF($S44="No",0,IF('Cost Center'!$F$5="Planning",IF($M44="",0,$M44),IF('Cost Center'!$F$5="Contracted",IF($N44="",0,$N44),IF($O44="",0,$O44))))</x:f>
        <x:v>0</x:v>
      </x:c>
      <x:c r="Q44" s="491" t="n">
        <x:f>IF($S44="No",0,SUMIF('Cost Drivers'!$B$48:$B$105,$K44,'Cost Drivers'!$E$48:$E$105)*$P44)</x:f>
        <x:v>0</x:v>
      </x:c>
      <x:c r="R44" s="491" t="n">
        <x:f>IF($S44="No",0,SUMIF('Cost Drivers'!$B$48:$B$105,$K44,'Cost Drivers'!$F$48:$F$105)*$P44)</x:f>
        <x:v>0</x:v>
      </x:c>
      <x:c r="S44" s="492" t="str">
        <x:v>No</x:v>
      </x:c>
      <x:c r="T44" s="464" t="str">
        <x:f>IF($S44="No","Disabled",IF('Cost Center'!$F$5="Planning",IF($M44="","Missing","Planning"),IF('Cost Center'!$F$5="Contracted",IF($N44="","Missing","Contracted"),IF($O44="","Missing","Actual"))))</x:f>
        <x:v>Disabled</x:v>
      </x:c>
      <x:c r="U44" s="464" t="str">
        <x:v>Future program</x:v>
      </x:c>
      <x:c r="V44" s="464" t="str">
        <x:v>One-time or annualized partner setup.</x:v>
      </x:c>
    </x:row>
    <x:row r="45" ht="42" customHeight="1">
      <x:c r="A45" s="448"/>
      <x:c r="B45" s="470" t="str">
        <x:v>P027</x:v>
      </x:c>
      <x:c r="C45" s="470" t="str">
        <x:v>Partner &amp; Channel</x:v>
      </x:c>
      <x:c r="D45" s="470" t="str">
        <x:v>Partner</x:v>
      </x:c>
      <x:c r="E45" s="470" t="str">
        <x:v>Serve &amp; Protect</x:v>
      </x:c>
      <x:c r="F45" s="470" t="str">
        <x:v>Partner &amp; channel</x:v>
      </x:c>
      <x:c r="G45" s="470" t="str">
        <x:v>Cross-platform</x:v>
      </x:c>
      <x:c r="H45" s="470" t="str">
        <x:v>Wholesale partner</x:v>
      </x:c>
      <x:c r="I45" s="470" t="str">
        <x:v>Partner support labor</x:v>
      </x:c>
      <x:c r="J45" s="470" t="str">
        <x:v>Partner operations</x:v>
      </x:c>
      <x:c r="K45" s="470" t="str">
        <x:v>PARTNER_SUPPORT_HOURS</x:v>
      </x:c>
      <x:c r="L45" s="470" t="str">
        <x:v>hours</x:v>
      </x:c>
      <x:c r="M45" s="485" t="n">
        <x:v>30</x:v>
      </x:c>
      <x:c r="N45" s="485"/>
      <x:c r="O45" s="485"/>
      <x:c r="P45" s="501" t="n">
        <x:f>IF($S45="No",0,IF('Cost Center'!$F$5="Planning",IF($M45="",0,$M45),IF('Cost Center'!$F$5="Contracted",IF($N45="",0,$N45),IF($O45="",0,$O45))))</x:f>
        <x:v>0</x:v>
      </x:c>
      <x:c r="Q45" s="497" t="n">
        <x:f>IF($S45="No",0,SUMIF('Cost Drivers'!$B$48:$B$105,$K45,'Cost Drivers'!$E$48:$E$105)*$P45)</x:f>
        <x:v>0</x:v>
      </x:c>
      <x:c r="R45" s="497" t="n">
        <x:f>IF($S45="No",0,SUMIF('Cost Drivers'!$B$48:$B$105,$K45,'Cost Drivers'!$F$48:$F$105)*$P45)</x:f>
        <x:v>0</x:v>
      </x:c>
      <x:c r="S45" s="492" t="str">
        <x:v>No</x:v>
      </x:c>
      <x:c r="T45" s="470" t="str">
        <x:f>IF($S45="No","Disabled",IF('Cost Center'!$F$5="Planning",IF($M45="","Missing","Planning"),IF('Cost Center'!$F$5="Contracted",IF($N45="","Missing","Contracted"),IF($O45="","Missing","Actual"))))</x:f>
        <x:v>Disabled</x:v>
      </x:c>
      <x:c r="U45" s="470" t="str">
        <x:v>Future program</x:v>
      </x:c>
      <x:c r="V45" s="470" t="str">
        <x:v>Enable when partner support model is defined.</x:v>
      </x:c>
    </x:row>
    <x:row r="46" ht="42" customHeight="1">
      <x:c r="A46" s="448"/>
      <x:c r="B46" s="464" t="str">
        <x:v>I001</x:v>
      </x:c>
      <x:c r="C46" s="464" t="str">
        <x:v>Issuing Ops &amp; Risk</x:v>
      </x:c>
      <x:c r="D46" s="464" t="str">
        <x:v>Issuing</x:v>
      </x:c>
      <x:c r="E46" s="464" t="str">
        <x:v>Pay &amp; Spend</x:v>
      </x:c>
      <x:c r="F46" s="464" t="str">
        <x:v>Vendor &amp; processing</x:v>
      </x:c>
      <x:c r="G46" s="464" t="str">
        <x:v>Cross-platform</x:v>
      </x:c>
      <x:c r="H46" s="464" t="str">
        <x:v>Spending accounts</x:v>
      </x:c>
      <x:c r="I46" s="464" t="str">
        <x:v>Issuer processor / network variable cost</x:v>
      </x:c>
      <x:c r="J46" s="464" t="str">
        <x:v>Issuer processor</x:v>
      </x:c>
      <x:c r="K46" s="464" t="str">
        <x:v>ISSUED_SPEND_$</x:v>
      </x:c>
      <x:c r="L46" s="464" t="str">
        <x:v>USD</x:v>
      </x:c>
      <x:c r="M46" s="486" t="n">
        <x:v>0.0018</x:v>
      </x:c>
      <x:c r="N46" s="486"/>
      <x:c r="O46" s="486"/>
      <x:c r="P46" s="488" t="n">
        <x:f>IF($S46="No",0,IF('Cost Center'!$F$5="Planning",IF($M46="",0,$M46),IF('Cost Center'!$F$5="Contracted",IF($N46="",0,$N46),IF($O46="",0,$O46))))</x:f>
        <x:v>0.0018</x:v>
      </x:c>
      <x:c r="Q46" s="491" t="n">
        <x:f>IF($S46="No",0,SUMIF('Cost Drivers'!$B$48:$B$105,$K46,'Cost Drivers'!$E$48:$E$105)*$P46)</x:f>
        <x:v>43.199999999999996</x:v>
      </x:c>
      <x:c r="R46" s="491" t="n">
        <x:f>IF($S46="No",0,SUMIF('Cost Drivers'!$B$48:$B$105,$K46,'Cost Drivers'!$F$48:$F$105)*$P46)</x:f>
        <x:v>43.199999999999996</x:v>
      </x:c>
      <x:c r="S46" s="492" t="str">
        <x:v>Yes</x:v>
      </x:c>
      <x:c r="T46" s="464" t="str">
        <x:f>IF($S46="No","Disabled",IF('Cost Center'!$F$5="Planning",IF($M46="","Missing","Planning"),IF('Cost Center'!$F$5="Contracted",IF($N46="","Missing","Contracted"),IF($O46="","Missing","Actual"))))</x:f>
        <x:v>Planning</x:v>
      </x:c>
      <x:c r="U46" s="464" t="str">
        <x:v>Existing planning assumption</x:v>
      </x:c>
      <x:c r="V46" s="464" t="str">
        <x:v>Breaks out the prior 0.25% aggregate cost allowance.</x:v>
      </x:c>
    </x:row>
    <x:row r="47" ht="42" customHeight="1">
      <x:c r="A47" s="448"/>
      <x:c r="B47" s="470" t="str">
        <x:v>I002</x:v>
      </x:c>
      <x:c r="C47" s="470" t="str">
        <x:v>Issuing Ops &amp; Risk</x:v>
      </x:c>
      <x:c r="D47" s="470" t="str">
        <x:v>Issuing</x:v>
      </x:c>
      <x:c r="E47" s="470" t="str">
        <x:v>Pay &amp; Spend</x:v>
      </x:c>
      <x:c r="F47" s="470" t="str">
        <x:v>Funding &amp; liquidity</x:v>
      </x:c>
      <x:c r="G47" s="470" t="str">
        <x:v>Cross-platform</x:v>
      </x:c>
      <x:c r="H47" s="470" t="str">
        <x:v>Spending accounts</x:v>
      </x:c>
      <x:c r="I47" s="470" t="str">
        <x:v>Funding cost</x:v>
      </x:c>
      <x:c r="J47" s="470" t="str">
        <x:v>Funding provider</x:v>
      </x:c>
      <x:c r="K47" s="470" t="str">
        <x:v>AVG_FUNDED_RECEIVABLE_$</x:v>
      </x:c>
      <x:c r="L47" s="470" t="str">
        <x:v>USD average</x:v>
      </x:c>
      <x:c r="M47" s="486" t="n">
        <x:v>0.06</x:v>
      </x:c>
      <x:c r="N47" s="486"/>
      <x:c r="O47" s="486"/>
      <x:c r="P47" s="494" t="n">
        <x:f>IF($S47="No",0,IF('Cost Center'!$F$5="Planning",IF($M47="",0,$M47),IF('Cost Center'!$F$5="Contracted",IF($N47="",0,$N47),IF($O47="",0,$O47))))</x:f>
        <x:v>0.06</x:v>
      </x:c>
      <x:c r="Q47" s="497" t="n">
        <x:f>IF($S47="No",0,SUMIF('Cost Drivers'!$B$48:$B$105,$K47,'Cost Drivers'!$E$48:$E$105)*$P47)</x:f>
        <x:v>11.835616438356164</x:v>
      </x:c>
      <x:c r="R47" s="497" t="n">
        <x:f>IF($S47="No",0,SUMIF('Cost Drivers'!$B$48:$B$105,$K47,'Cost Drivers'!$F$48:$F$105)*$P47)</x:f>
        <x:v>11.835616438356164</x:v>
      </x:c>
      <x:c r="S47" s="492" t="str">
        <x:v>Yes</x:v>
      </x:c>
      <x:c r="T47" s="470" t="str">
        <x:f>IF($S47="No","Disabled",IF('Cost Center'!$F$5="Planning",IF($M47="","Missing","Planning"),IF('Cost Center'!$F$5="Contracted",IF($N47="","Missing","Contracted"),IF($O47="","Missing","Actual"))))</x:f>
        <x:v>Planning</x:v>
      </x:c>
      <x:c r="U47" s="470" t="str">
        <x:v>Internal planning assumption</x:v>
      </x:c>
      <x:c r="V47" s="470" t="str">
        <x:v>Annual funding rate applied to average financed balance.</x:v>
      </x:c>
    </x:row>
    <x:row r="48" ht="42" customHeight="1">
      <x:c r="A48" s="448"/>
      <x:c r="B48" s="464" t="str">
        <x:v>I003</x:v>
      </x:c>
      <x:c r="C48" s="464" t="str">
        <x:v>Issuing Ops &amp; Risk</x:v>
      </x:c>
      <x:c r="D48" s="464" t="str">
        <x:v>Issuing</x:v>
      </x:c>
      <x:c r="E48" s="464" t="str">
        <x:v>Pay &amp; Spend</x:v>
      </x:c>
      <x:c r="F48" s="464" t="str">
        <x:v>Risk &amp; loss</x:v>
      </x:c>
      <x:c r="G48" s="464" t="str">
        <x:v>Cross-platform</x:v>
      </x:c>
      <x:c r="H48" s="464" t="str">
        <x:v>Spending accounts</x:v>
      </x:c>
      <x:c r="I48" s="464" t="str">
        <x:v>Residual fraud / credit loss</x:v>
      </x:c>
      <x:c r="J48" s="464" t="str">
        <x:v>Risk reserve</x:v>
      </x:c>
      <x:c r="K48" s="464" t="str">
        <x:v>ISSUED_SPEND_$</x:v>
      </x:c>
      <x:c r="L48" s="464" t="str">
        <x:v>USD</x:v>
      </x:c>
      <x:c r="M48" s="486" t="n">
        <x:v>0.0002</x:v>
      </x:c>
      <x:c r="N48" s="486"/>
      <x:c r="O48" s="486"/>
      <x:c r="P48" s="488" t="n">
        <x:f>IF($S48="No",0,IF('Cost Center'!$F$5="Planning",IF($M48="",0,$M48),IF('Cost Center'!$F$5="Contracted",IF($N48="",0,$N48),IF($O48="",0,$O48))))</x:f>
        <x:v>0.0002</x:v>
      </x:c>
      <x:c r="Q48" s="491" t="n">
        <x:f>IF($S48="No",0,SUMIF('Cost Drivers'!$B$48:$B$105,$K48,'Cost Drivers'!$E$48:$E$105)*$P48)</x:f>
        <x:v>4.8</x:v>
      </x:c>
      <x:c r="R48" s="491" t="n">
        <x:f>IF($S48="No",0,SUMIF('Cost Drivers'!$B$48:$B$105,$K48,'Cost Drivers'!$F$48:$F$105)*$P48)</x:f>
        <x:v>4.8</x:v>
      </x:c>
      <x:c r="S48" s="492" t="str">
        <x:v>Yes</x:v>
      </x:c>
      <x:c r="T48" s="464" t="str">
        <x:f>IF($S48="No","Disabled",IF('Cost Center'!$F$5="Planning",IF($M48="","Missing","Planning"),IF('Cost Center'!$F$5="Contracted",IF($N48="","Missing","Contracted"),IF($O48="","Missing","Actual"))))</x:f>
        <x:v>Planning</x:v>
      </x:c>
      <x:c r="U48" s="464" t="str">
        <x:v>Existing planning assumption</x:v>
      </x:c>
      <x:c r="V48" s="464" t="str">
        <x:v>Residual loss after collateral recovery.</x:v>
      </x:c>
    </x:row>
    <x:row r="49" ht="42" customHeight="1">
      <x:c r="A49" s="448"/>
      <x:c r="B49" s="470" t="str">
        <x:v>I004</x:v>
      </x:c>
      <x:c r="C49" s="470" t="str">
        <x:v>Issuing Ops &amp; Risk</x:v>
      </x:c>
      <x:c r="D49" s="470" t="str">
        <x:v>Issuing</x:v>
      </x:c>
      <x:c r="E49" s="470" t="str">
        <x:v>Pay &amp; Spend</x:v>
      </x:c>
      <x:c r="F49" s="470" t="str">
        <x:v>Vendor &amp; processing</x:v>
      </x:c>
      <x:c r="G49" s="470" t="str">
        <x:v>Cross-platform</x:v>
      </x:c>
      <x:c r="H49" s="470" t="str">
        <x:v>Spending accounts</x:v>
      </x:c>
      <x:c r="I49" s="470" t="str">
        <x:v>Active account fee</x:v>
      </x:c>
      <x:c r="J49" s="470" t="str">
        <x:v>Issuer processor</x:v>
      </x:c>
      <x:c r="K49" s="470" t="str">
        <x:v>ISSUED_ACCOUNT_MONTHS</x:v>
      </x:c>
      <x:c r="L49" s="470" t="str">
        <x:v>account-months</x:v>
      </x:c>
      <x:c r="M49" s="485" t="n">
        <x:v>1</x:v>
      </x:c>
      <x:c r="N49" s="485"/>
      <x:c r="O49" s="485"/>
      <x:c r="P49" s="501" t="n">
        <x:f>IF($S49="No",0,IF('Cost Center'!$F$5="Planning",IF($M49="",0,$M49),IF('Cost Center'!$F$5="Contracted",IF($N49="",0,$N49),IF($O49="",0,$O49))))</x:f>
        <x:v>1</x:v>
      </x:c>
      <x:c r="Q49" s="497" t="n">
        <x:f>IF($S49="No",0,SUMIF('Cost Drivers'!$B$48:$B$105,$K49,'Cost Drivers'!$E$48:$E$105)*$P49)</x:f>
        <x:v>24</x:v>
      </x:c>
      <x:c r="R49" s="497" t="n">
        <x:f>IF($S49="No",0,SUMIF('Cost Drivers'!$B$48:$B$105,$K49,'Cost Drivers'!$F$48:$F$105)*$P49)</x:f>
        <x:v>24</x:v>
      </x:c>
      <x:c r="S49" s="492" t="str">
        <x:v>Yes</x:v>
      </x:c>
      <x:c r="T49" s="470" t="str">
        <x:f>IF($S49="No","Disabled",IF('Cost Center'!$F$5="Planning",IF($M49="","Missing","Planning"),IF('Cost Center'!$F$5="Contracted",IF($N49="","Missing","Contracted"),IF($O49="","Missing","Actual"))))</x:f>
        <x:v>Planning</x:v>
      </x:c>
      <x:c r="U49" s="470" t="str">
        <x:v>Internal planning assumption</x:v>
      </x:c>
      <x:c r="V49" s="470" t="str">
        <x:v>Replace with contract; separate from card production.</x:v>
      </x:c>
    </x:row>
    <x:row r="50" ht="42" customHeight="1">
      <x:c r="A50" s="448"/>
      <x:c r="B50" s="464" t="str">
        <x:v>I005</x:v>
      </x:c>
      <x:c r="C50" s="464" t="str">
        <x:v>Issuing Ops &amp; Risk</x:v>
      </x:c>
      <x:c r="D50" s="464" t="str">
        <x:v>Issuing</x:v>
      </x:c>
      <x:c r="E50" s="464" t="str">
        <x:v>Verify &amp; Activate</x:v>
      </x:c>
      <x:c r="F50" s="464" t="str">
        <x:v>Vendor &amp; processing</x:v>
      </x:c>
      <x:c r="G50" s="464" t="str">
        <x:v>Cross-platform</x:v>
      </x:c>
      <x:c r="H50" s="464" t="str">
        <x:v>Physical access</x:v>
      </x:c>
      <x:c r="I50" s="464" t="str">
        <x:v>Physical credential production</x:v>
      </x:c>
      <x:c r="J50" s="464" t="str">
        <x:v>Card manufacturer / processor</x:v>
      </x:c>
      <x:c r="K50" s="464" t="str">
        <x:v>PHYSICAL_CREDENTIALS</x:v>
      </x:c>
      <x:c r="L50" s="464" t="str">
        <x:v>credentials</x:v>
      </x:c>
      <x:c r="M50" s="485" t="n">
        <x:v>3.5</x:v>
      </x:c>
      <x:c r="N50" s="485"/>
      <x:c r="O50" s="485"/>
      <x:c r="P50" s="499" t="n">
        <x:f>IF($S50="No",0,IF('Cost Center'!$F$5="Planning",IF($M50="",0,$M50),IF('Cost Center'!$F$5="Contracted",IF($N50="",0,$N50),IF($O50="",0,$O50))))</x:f>
        <x:v>3.5</x:v>
      </x:c>
      <x:c r="Q50" s="491" t="n">
        <x:f>IF($S50="No",0,SUMIF('Cost Drivers'!$B$48:$B$105,$K50,'Cost Drivers'!$E$48:$E$105)*$P50)</x:f>
        <x:v>7</x:v>
      </x:c>
      <x:c r="R50" s="491" t="n">
        <x:f>IF($S50="No",0,SUMIF('Cost Drivers'!$B$48:$B$105,$K50,'Cost Drivers'!$F$48:$F$105)*$P50)</x:f>
        <x:v>7</x:v>
      </x:c>
      <x:c r="S50" s="492" t="str">
        <x:v>Yes</x:v>
      </x:c>
      <x:c r="T50" s="464" t="str">
        <x:f>IF($S50="No","Disabled",IF('Cost Center'!$F$5="Planning",IF($M50="","Missing","Planning"),IF('Cost Center'!$F$5="Contracted",IF($N50="","Missing","Contracted"),IF($O50="","Missing","Actual"))))</x:f>
        <x:v>Planning</x:v>
      </x:c>
      <x:c r="U50" s="464" t="str">
        <x:v>https://docs.stripe.com/issuing/choose-cards</x:v>
      </x:c>
      <x:c r="V50" s="464" t="str">
        <x:v>Public US planning benchmark; shipping separate.</x:v>
      </x:c>
    </x:row>
    <x:row r="51" ht="42" customHeight="1">
      <x:c r="A51" s="448"/>
      <x:c r="B51" s="470" t="str">
        <x:v>I006</x:v>
      </x:c>
      <x:c r="C51" s="470" t="str">
        <x:v>Issuing Ops &amp; Risk</x:v>
      </x:c>
      <x:c r="D51" s="470" t="str">
        <x:v>Issuing</x:v>
      </x:c>
      <x:c r="E51" s="470" t="str">
        <x:v>Verify &amp; Activate</x:v>
      </x:c>
      <x:c r="F51" s="470" t="str">
        <x:v>Vendor &amp; processing</x:v>
      </x:c>
      <x:c r="G51" s="470" t="str">
        <x:v>Cross-platform</x:v>
      </x:c>
      <x:c r="H51" s="470" t="str">
        <x:v>Physical access</x:v>
      </x:c>
      <x:c r="I51" s="470" t="str">
        <x:v>Physical credential shipping</x:v>
      </x:c>
      <x:c r="J51" s="470" t="str">
        <x:v>Shipping provider</x:v>
      </x:c>
      <x:c r="K51" s="470" t="str">
        <x:v>PHYSICAL_CREDENTIALS</x:v>
      </x:c>
      <x:c r="L51" s="470" t="str">
        <x:v>credentials</x:v>
      </x:c>
      <x:c r="M51" s="485"/>
      <x:c r="N51" s="485"/>
      <x:c r="O51" s="485"/>
      <x:c r="P51" s="501" t="n">
        <x:f>IF($S51="No",0,IF('Cost Center'!$F$5="Planning",IF($M51="",0,$M51),IF('Cost Center'!$F$5="Contracted",IF($N51="",0,$N51),IF($O51="",0,$O51))))</x:f>
        <x:v>0</x:v>
      </x:c>
      <x:c r="Q51" s="497" t="n">
        <x:f>IF($S51="No",0,SUMIF('Cost Drivers'!$B$48:$B$105,$K51,'Cost Drivers'!$E$48:$E$105)*$P51)</x:f>
        <x:v>0</x:v>
      </x:c>
      <x:c r="R51" s="497" t="n">
        <x:f>IF($S51="No",0,SUMIF('Cost Drivers'!$B$48:$B$105,$K51,'Cost Drivers'!$F$48:$F$105)*$P51)</x:f>
        <x:v>0</x:v>
      </x:c>
      <x:c r="S51" s="492" t="str">
        <x:v>Yes</x:v>
      </x:c>
      <x:c r="T51" s="470" t="str">
        <x:f>IF($S51="No","Disabled",IF('Cost Center'!$F$5="Planning",IF($M51="","Missing","Planning"),IF('Cost Center'!$F$5="Contracted",IF($N51="","Missing","Contracted"),IF($O51="","Missing","Actual"))))</x:f>
        <x:v>Missing</x:v>
      </x:c>
      <x:c r="U51" s="470" t="str">
        <x:v>Contract required</x:v>
      </x:c>
      <x:c r="V51" s="470" t="str">
        <x:v>Enter regional production and shipping terms.</x:v>
      </x:c>
    </x:row>
    <x:row r="52" ht="42" customHeight="1">
      <x:c r="A52" s="448"/>
      <x:c r="B52" s="464" t="str">
        <x:v>I007</x:v>
      </x:c>
      <x:c r="C52" s="464" t="str">
        <x:v>Issuing Ops &amp; Risk</x:v>
      </x:c>
      <x:c r="D52" s="464" t="str">
        <x:v>Issuing</x:v>
      </x:c>
      <x:c r="E52" s="464" t="str">
        <x:v>Verify &amp; Activate</x:v>
      </x:c>
      <x:c r="F52" s="464" t="str">
        <x:v>Vendor &amp; processing</x:v>
      </x:c>
      <x:c r="G52" s="464" t="str">
        <x:v>Cross-platform</x:v>
      </x:c>
      <x:c r="H52" s="464" t="str">
        <x:v>Virtual access</x:v>
      </x:c>
      <x:c r="I52" s="464" t="str">
        <x:v>Virtual credential creation</x:v>
      </x:c>
      <x:c r="J52" s="464" t="str">
        <x:v>Issuer processor</x:v>
      </x:c>
      <x:c r="K52" s="464" t="str">
        <x:v>VIRTUAL_CREDENTIALS</x:v>
      </x:c>
      <x:c r="L52" s="464" t="str">
        <x:v>credentials</x:v>
      </x:c>
      <x:c r="M52" s="485" t="n">
        <x:v>0.1</x:v>
      </x:c>
      <x:c r="N52" s="485"/>
      <x:c r="O52" s="485"/>
      <x:c r="P52" s="499" t="n">
        <x:f>IF($S52="No",0,IF('Cost Center'!$F$5="Planning",IF($M52="",0,$M52),IF('Cost Center'!$F$5="Contracted",IF($N52="",0,$N52),IF($O52="",0,$O52))))</x:f>
        <x:v>0.1</x:v>
      </x:c>
      <x:c r="Q52" s="491" t="n">
        <x:f>IF($S52="No",0,SUMIF('Cost Drivers'!$B$48:$B$105,$K52,'Cost Drivers'!$E$48:$E$105)*$P52)</x:f>
        <x:v>0.5</x:v>
      </x:c>
      <x:c r="R52" s="491" t="n">
        <x:f>IF($S52="No",0,SUMIF('Cost Drivers'!$B$48:$B$105,$K52,'Cost Drivers'!$F$48:$F$105)*$P52)</x:f>
        <x:v>0.5</x:v>
      </x:c>
      <x:c r="S52" s="492" t="str">
        <x:v>Yes</x:v>
      </x:c>
      <x:c r="T52" s="464" t="str">
        <x:f>IF($S52="No","Disabled",IF('Cost Center'!$F$5="Planning",IF($M52="","Missing","Planning"),IF('Cost Center'!$F$5="Contracted",IF($N52="","Missing","Contracted"),IF($O52="","Missing","Actual"))))</x:f>
        <x:v>Planning</x:v>
      </x:c>
      <x:c r="U52" s="464" t="str">
        <x:v>https://docs.stripe.com/issuing/cards/virtual</x:v>
      </x:c>
      <x:c r="V52" s="464" t="str">
        <x:v>Public US planning benchmark.</x:v>
      </x:c>
    </x:row>
    <x:row r="53" ht="42" customHeight="1">
      <x:c r="A53" s="448"/>
      <x:c r="B53" s="470" t="str">
        <x:v>I008</x:v>
      </x:c>
      <x:c r="C53" s="470" t="str">
        <x:v>Issuing Ops &amp; Risk</x:v>
      </x:c>
      <x:c r="D53" s="470" t="str">
        <x:v>Issuing</x:v>
      </x:c>
      <x:c r="E53" s="470" t="str">
        <x:v>Verify &amp; Activate</x:v>
      </x:c>
      <x:c r="F53" s="470" t="str">
        <x:v>Vendor &amp; processing</x:v>
      </x:c>
      <x:c r="G53" s="470" t="str">
        <x:v>Cross-platform</x:v>
      </x:c>
      <x:c r="H53" s="470" t="str">
        <x:v>Digital wallet</x:v>
      </x:c>
      <x:c r="I53" s="470" t="str">
        <x:v>Wallet token provisioning</x:v>
      </x:c>
      <x:c r="J53" s="470" t="str">
        <x:v>Token / wallet provider</x:v>
      </x:c>
      <x:c r="K53" s="470" t="str">
        <x:v>WALLET_TOKENS</x:v>
      </x:c>
      <x:c r="L53" s="470" t="str">
        <x:v>tokens</x:v>
      </x:c>
      <x:c r="M53" s="485"/>
      <x:c r="N53" s="485"/>
      <x:c r="O53" s="485"/>
      <x:c r="P53" s="501" t="n">
        <x:f>IF($S53="No",0,IF('Cost Center'!$F$5="Planning",IF($M53="",0,$M53),IF('Cost Center'!$F$5="Contracted",IF($N53="",0,$N53),IF($O53="",0,$O53))))</x:f>
        <x:v>0</x:v>
      </x:c>
      <x:c r="Q53" s="497" t="n">
        <x:f>IF($S53="No",0,SUMIF('Cost Drivers'!$B$48:$B$105,$K53,'Cost Drivers'!$E$48:$E$105)*$P53)</x:f>
        <x:v>0</x:v>
      </x:c>
      <x:c r="R53" s="497" t="n">
        <x:f>IF($S53="No",0,SUMIF('Cost Drivers'!$B$48:$B$105,$K53,'Cost Drivers'!$F$48:$F$105)*$P53)</x:f>
        <x:v>0</x:v>
      </x:c>
      <x:c r="S53" s="492" t="str">
        <x:v>Yes</x:v>
      </x:c>
      <x:c r="T53" s="470" t="str">
        <x:f>IF($S53="No","Disabled",IF('Cost Center'!$F$5="Planning",IF($M53="","Missing","Planning"),IF('Cost Center'!$F$5="Contracted",IF($N53="","Missing","Contracted"),IF($O53="","Missing","Actual"))))</x:f>
        <x:v>Missing</x:v>
      </x:c>
      <x:c r="U53" s="470" t="str">
        <x:v>Contract required</x:v>
      </x:c>
      <x:c r="V53" s="470" t="str">
        <x:v>May be bundled; verify lifecycle fees.</x:v>
      </x:c>
    </x:row>
    <x:row r="54" ht="42" customHeight="1">
      <x:c r="A54" s="448"/>
      <x:c r="B54" s="464" t="str">
        <x:v>I009</x:v>
      </x:c>
      <x:c r="C54" s="464" t="str">
        <x:v>Issuing Ops &amp; Risk</x:v>
      </x:c>
      <x:c r="D54" s="464" t="str">
        <x:v>Issuing</x:v>
      </x:c>
      <x:c r="E54" s="464" t="str">
        <x:v>Serve &amp; Protect</x:v>
      </x:c>
      <x:c r="F54" s="464" t="str">
        <x:v>Vendor &amp; processing</x:v>
      </x:c>
      <x:c r="G54" s="464" t="str">
        <x:v>Cross-platform</x:v>
      </x:c>
      <x:c r="H54" s="464" t="str">
        <x:v>Replacement</x:v>
      </x:c>
      <x:c r="I54" s="464" t="str">
        <x:v>Replacement physical credential</x:v>
      </x:c>
      <x:c r="J54" s="464" t="str">
        <x:v>Card manufacturer / processor</x:v>
      </x:c>
      <x:c r="K54" s="464" t="str">
        <x:v>REPLACEMENTS</x:v>
      </x:c>
      <x:c r="L54" s="464" t="str">
        <x:v>credentials</x:v>
      </x:c>
      <x:c r="M54" s="485" t="n">
        <x:v>3.5</x:v>
      </x:c>
      <x:c r="N54" s="485"/>
      <x:c r="O54" s="485"/>
      <x:c r="P54" s="499" t="n">
        <x:f>IF($S54="No",0,IF('Cost Center'!$F$5="Planning",IF($M54="",0,$M54),IF('Cost Center'!$F$5="Contracted",IF($N54="",0,$N54),IF($O54="",0,$O54))))</x:f>
        <x:v>3.5</x:v>
      </x:c>
      <x:c r="Q54" s="491" t="n">
        <x:f>IF($S54="No",0,SUMIF('Cost Drivers'!$B$48:$B$105,$K54,'Cost Drivers'!$E$48:$E$105)*$P54)</x:f>
        <x:v>0.35000000000000003</x:v>
      </x:c>
      <x:c r="R54" s="491" t="n">
        <x:f>IF($S54="No",0,SUMIF('Cost Drivers'!$B$48:$B$105,$K54,'Cost Drivers'!$F$48:$F$105)*$P54)</x:f>
        <x:v>0.35000000000000003</x:v>
      </x:c>
      <x:c r="S54" s="492" t="str">
        <x:v>Yes</x:v>
      </x:c>
      <x:c r="T54" s="464" t="str">
        <x:f>IF($S54="No","Disabled",IF('Cost Center'!$F$5="Planning",IF($M54="","Missing","Planning"),IF('Cost Center'!$F$5="Contracted",IF($N54="","Missing","Contracted"),IF($O54="","Missing","Actual"))))</x:f>
        <x:v>Planning</x:v>
      </x:c>
      <x:c r="U54" s="464" t="str">
        <x:v>https://docs.stripe.com/issuing/choose-cards</x:v>
      </x:c>
      <x:c r="V54" s="464" t="str">
        <x:v>Production only; replacement shipping separate.</x:v>
      </x:c>
    </x:row>
    <x:row r="55" ht="42" customHeight="1">
      <x:c r="A55" s="448"/>
      <x:c r="B55" s="470" t="str">
        <x:v>I010</x:v>
      </x:c>
      <x:c r="C55" s="470" t="str">
        <x:v>Issuing Ops &amp; Risk</x:v>
      </x:c>
      <x:c r="D55" s="470" t="str">
        <x:v>Issuing</x:v>
      </x:c>
      <x:c r="E55" s="470" t="str">
        <x:v>Serve &amp; Protect</x:v>
      </x:c>
      <x:c r="F55" s="470" t="str">
        <x:v>Technology &amp; data</x:v>
      </x:c>
      <x:c r="G55" s="470" t="str">
        <x:v>Personal</x:v>
      </x:c>
      <x:c r="H55" s="470" t="str">
        <x:v>Statements</x:v>
      </x:c>
      <x:c r="I55" s="470" t="str">
        <x:v>Statement generation / delivery</x:v>
      </x:c>
      <x:c r="J55" s="470" t="str">
        <x:v>Issuer processor</x:v>
      </x:c>
      <x:c r="K55" s="470" t="str">
        <x:v>STATEMENTS</x:v>
      </x:c>
      <x:c r="L55" s="470" t="str">
        <x:v>statements</x:v>
      </x:c>
      <x:c r="M55" s="485" t="n">
        <x:v>0.1</x:v>
      </x:c>
      <x:c r="N55" s="485"/>
      <x:c r="O55" s="485"/>
      <x:c r="P55" s="501" t="n">
        <x:f>IF($S55="No",0,IF('Cost Center'!$F$5="Planning",IF($M55="",0,$M55),IF('Cost Center'!$F$5="Contracted",IF($N55="",0,$N55),IF($O55="",0,$O55))))</x:f>
        <x:v>0.1</x:v>
      </x:c>
      <x:c r="Q55" s="497" t="n">
        <x:f>IF($S55="No",0,SUMIF('Cost Drivers'!$B$48:$B$105,$K55,'Cost Drivers'!$E$48:$E$105)*$P55)</x:f>
        <x:v>1.2000000000000002</x:v>
      </x:c>
      <x:c r="R55" s="497" t="n">
        <x:f>IF($S55="No",0,SUMIF('Cost Drivers'!$B$48:$B$105,$K55,'Cost Drivers'!$F$48:$F$105)*$P55)</x:f>
        <x:v>1.2000000000000002</x:v>
      </x:c>
      <x:c r="S55" s="492" t="str">
        <x:v>Yes</x:v>
      </x:c>
      <x:c r="T55" s="470" t="str">
        <x:f>IF($S55="No","Disabled",IF('Cost Center'!$F$5="Planning",IF($M55="","Missing","Planning"),IF('Cost Center'!$F$5="Contracted",IF($N55="","Missing","Contracted"),IF($O55="","Missing","Actual"))))</x:f>
        <x:v>Planning</x:v>
      </x:c>
      <x:c r="U55" s="470" t="str">
        <x:v>Internal planning assumption</x:v>
      </x:c>
      <x:c r="V55" s="470" t="str">
        <x:v>Replace with actual electronic / paper statement costs.</x:v>
      </x:c>
    </x:row>
    <x:row r="56" ht="42" customHeight="1">
      <x:c r="A56" s="448"/>
      <x:c r="B56" s="464" t="str">
        <x:v>I011</x:v>
      </x:c>
      <x:c r="C56" s="464" t="str">
        <x:v>Issuing Ops &amp; Risk</x:v>
      </x:c>
      <x:c r="D56" s="464" t="str">
        <x:v>Issuing</x:v>
      </x:c>
      <x:c r="E56" s="464" t="str">
        <x:v>Serve &amp; Protect</x:v>
      </x:c>
      <x:c r="F56" s="464" t="str">
        <x:v>Labor &amp; support</x:v>
      </x:c>
      <x:c r="G56" s="464" t="str">
        <x:v>Cross-platform</x:v>
      </x:c>
      <x:c r="H56" s="464" t="str">
        <x:v>Disputes</x:v>
      </x:c>
      <x:c r="I56" s="464" t="str">
        <x:v>Issuing dispute operations labor</x:v>
      </x:c>
      <x:c r="J56" s="464" t="str">
        <x:v>Issuing operations</x:v>
      </x:c>
      <x:c r="K56" s="464" t="str">
        <x:v>ISSUING_DISPUTE_OPS_HOURS</x:v>
      </x:c>
      <x:c r="L56" s="464" t="str">
        <x:v>hours</x:v>
      </x:c>
      <x:c r="M56" s="485" t="n">
        <x:v>35</x:v>
      </x:c>
      <x:c r="N56" s="485"/>
      <x:c r="O56" s="485"/>
      <x:c r="P56" s="499" t="n">
        <x:f>IF($S56="No",0,IF('Cost Center'!$F$5="Planning",IF($M56="",0,$M56),IF('Cost Center'!$F$5="Contracted",IF($N56="",0,$N56),IF($O56="",0,$O56))))</x:f>
        <x:v>35</x:v>
      </x:c>
      <x:c r="Q56" s="491" t="n">
        <x:f>IF($S56="No",0,SUMIF('Cost Drivers'!$B$48:$B$105,$K56,'Cost Drivers'!$E$48:$E$105)*$P56)</x:f>
        <x:v>8.4</x:v>
      </x:c>
      <x:c r="R56" s="491" t="n">
        <x:f>IF($S56="No",0,SUMIF('Cost Drivers'!$B$48:$B$105,$K56,'Cost Drivers'!$F$48:$F$105)*$P56)</x:f>
        <x:v>8.4</x:v>
      </x:c>
      <x:c r="S56" s="492" t="str">
        <x:v>Yes</x:v>
      </x:c>
      <x:c r="T56" s="464" t="str">
        <x:f>IF($S56="No","Disabled",IF('Cost Center'!$F$5="Planning",IF($M56="","Missing","Planning"),IF('Cost Center'!$F$5="Contracted",IF($N56="","Missing","Contracted"),IF($O56="","Missing","Actual"))))</x:f>
        <x:v>Planning</x:v>
      </x:c>
      <x:c r="U56" s="464" t="str">
        <x:v>Internal planning assumption</x:v>
      </x:c>
      <x:c r="V56" s="464" t="str">
        <x:v>Billing-error and transaction-dispute handling.</x:v>
      </x:c>
    </x:row>
    <x:row r="57" ht="42" customHeight="1">
      <x:c r="A57" s="448"/>
      <x:c r="B57" s="470" t="str">
        <x:v>I012</x:v>
      </x:c>
      <x:c r="C57" s="470" t="str">
        <x:v>Customer Service</x:v>
      </x:c>
      <x:c r="D57" s="470" t="str">
        <x:v>Issuing</x:v>
      </x:c>
      <x:c r="E57" s="470" t="str">
        <x:v>Serve &amp; Protect</x:v>
      </x:c>
      <x:c r="F57" s="470" t="str">
        <x:v>Labor &amp; support</x:v>
      </x:c>
      <x:c r="G57" s="470" t="str">
        <x:v>Cross-platform</x:v>
      </x:c>
      <x:c r="H57" s="470" t="str">
        <x:v>Account servicing</x:v>
      </x:c>
      <x:c r="I57" s="470" t="str">
        <x:v>Issuing support labor</x:v>
      </x:c>
      <x:c r="J57" s="470" t="str">
        <x:v>Member service</x:v>
      </x:c>
      <x:c r="K57" s="470" t="str">
        <x:v>ISSUING_SUPPORT_HOURS</x:v>
      </x:c>
      <x:c r="L57" s="470" t="str">
        <x:v>hours</x:v>
      </x:c>
      <x:c r="M57" s="485" t="n">
        <x:v>35</x:v>
      </x:c>
      <x:c r="N57" s="485"/>
      <x:c r="O57" s="485"/>
      <x:c r="P57" s="501" t="n">
        <x:f>IF($S57="No",0,IF('Cost Center'!$F$5="Planning",IF($M57="",0,$M57),IF('Cost Center'!$F$5="Contracted",IF($N57="",0,$N57),IF($O57="",0,$O57))))</x:f>
        <x:v>35</x:v>
      </x:c>
      <x:c r="Q57" s="497" t="n">
        <x:f>IF($S57="No",0,SUMIF('Cost Drivers'!$B$48:$B$105,$K57,'Cost Drivers'!$E$48:$E$105)*$P57)</x:f>
        <x:v>8.166666666666666</x:v>
      </x:c>
      <x:c r="R57" s="497" t="n">
        <x:f>IF($S57="No",0,SUMIF('Cost Drivers'!$B$48:$B$105,$K57,'Cost Drivers'!$F$48:$F$105)*$P57)</x:f>
        <x:v>10.208333333333334</x:v>
      </x:c>
      <x:c r="S57" s="492" t="str">
        <x:v>Yes</x:v>
      </x:c>
      <x:c r="T57" s="470" t="str">
        <x:f>IF($S57="No","Disabled",IF('Cost Center'!$F$5="Planning",IF($M57="","Missing","Planning"),IF('Cost Center'!$F$5="Contracted",IF($N57="","Missing","Contracted"),IF($O57="","Missing","Actual"))))</x:f>
        <x:v>Planning</x:v>
      </x:c>
      <x:c r="U57" s="470" t="str">
        <x:v>Internal planning assumption</x:v>
      </x:c>
      <x:c r="V57" s="470" t="str">
        <x:v>Lost access, declines, billing and account questions.</x:v>
      </x:c>
    </x:row>
    <x:row r="58" ht="42" customHeight="1">
      <x:c r="A58" s="448"/>
      <x:c r="B58" s="464" t="str">
        <x:v>I013</x:v>
      </x:c>
      <x:c r="C58" s="464" t="str">
        <x:v>Issuing Ops &amp; Risk</x:v>
      </x:c>
      <x:c r="D58" s="464" t="str">
        <x:v>Issuing</x:v>
      </x:c>
      <x:c r="E58" s="464" t="str">
        <x:v>Verify &amp; Activate</x:v>
      </x:c>
      <x:c r="F58" s="464" t="str">
        <x:v>Vendor &amp; processing</x:v>
      </x:c>
      <x:c r="G58" s="464" t="str">
        <x:v>Cross-platform</x:v>
      </x:c>
      <x:c r="H58" s="464" t="str">
        <x:v>Program</x:v>
      </x:c>
      <x:c r="I58" s="464" t="str">
        <x:v>Sponsor bank program fee</x:v>
      </x:c>
      <x:c r="J58" s="464" t="str">
        <x:v>Sponsor bank</x:v>
      </x:c>
      <x:c r="K58" s="464" t="str">
        <x:v>PROGRAMS</x:v>
      </x:c>
      <x:c r="L58" s="464" t="str">
        <x:v>programs</x:v>
      </x:c>
      <x:c r="M58" s="485"/>
      <x:c r="N58" s="485"/>
      <x:c r="O58" s="485"/>
      <x:c r="P58" s="499" t="n">
        <x:f>IF($S58="No",0,IF('Cost Center'!$F$5="Planning",IF($M58="",0,$M58),IF('Cost Center'!$F$5="Contracted",IF($N58="",0,$N58),IF($O58="",0,$O58))))</x:f>
        <x:v>0</x:v>
      </x:c>
      <x:c r="Q58" s="491" t="n">
        <x:f>IF($S58="No",0,SUMIF('Cost Drivers'!$B$48:$B$105,$K58,'Cost Drivers'!$E$48:$E$105)*$P58)</x:f>
        <x:v>0</x:v>
      </x:c>
      <x:c r="R58" s="491" t="n">
        <x:f>IF($S58="No",0,SUMIF('Cost Drivers'!$B$48:$B$105,$K58,'Cost Drivers'!$F$48:$F$105)*$P58)</x:f>
        <x:v>0</x:v>
      </x:c>
      <x:c r="S58" s="492" t="str">
        <x:v>Yes</x:v>
      </x:c>
      <x:c r="T58" s="464" t="str">
        <x:f>IF($S58="No","Disabled",IF('Cost Center'!$F$5="Planning",IF($M58="","Missing","Planning"),IF('Cost Center'!$F$5="Contracted",IF($N58="","Missing","Contracted"),IF($O58="","Missing","Actual"))))</x:f>
        <x:v>Missing</x:v>
      </x:c>
      <x:c r="U58" s="464" t="str">
        <x:v>Contract required</x:v>
      </x:c>
      <x:c r="V58" s="464" t="str">
        <x:v>Annual program fee or minimum.</x:v>
      </x:c>
    </x:row>
    <x:row r="59" ht="42" customHeight="1">
      <x:c r="A59" s="448"/>
      <x:c r="B59" s="470" t="str">
        <x:v>I014</x:v>
      </x:c>
      <x:c r="C59" s="470" t="str">
        <x:v>Issuing Ops &amp; Risk</x:v>
      </x:c>
      <x:c r="D59" s="470" t="str">
        <x:v>Issuing</x:v>
      </x:c>
      <x:c r="E59" s="470" t="str">
        <x:v>Pay &amp; Spend</x:v>
      </x:c>
      <x:c r="F59" s="470" t="str">
        <x:v>Vendor &amp; processing</x:v>
      </x:c>
      <x:c r="G59" s="470" t="str">
        <x:v>Cross-platform</x:v>
      </x:c>
      <x:c r="H59" s="470" t="str">
        <x:v>Program</x:v>
      </x:c>
      <x:c r="I59" s="470" t="str">
        <x:v>Issuer processor monthly minimum</x:v>
      </x:c>
      <x:c r="J59" s="470" t="str">
        <x:v>Issuer processor</x:v>
      </x:c>
      <x:c r="K59" s="470" t="str">
        <x:v>ACTIVE_MONTHS</x:v>
      </x:c>
      <x:c r="L59" s="470" t="str">
        <x:v>months</x:v>
      </x:c>
      <x:c r="M59" s="485"/>
      <x:c r="N59" s="485"/>
      <x:c r="O59" s="485"/>
      <x:c r="P59" s="501" t="n">
        <x:f>IF($S59="No",0,IF('Cost Center'!$F$5="Planning",IF($M59="",0,$M59),IF('Cost Center'!$F$5="Contracted",IF($N59="",0,$N59),IF($O59="",0,$O59))))</x:f>
        <x:v>0</x:v>
      </x:c>
      <x:c r="Q59" s="497" t="n">
        <x:f>IF($S59="No",0,SUMIF('Cost Drivers'!$B$48:$B$105,$K59,'Cost Drivers'!$E$48:$E$105)*$P59)</x:f>
        <x:v>0</x:v>
      </x:c>
      <x:c r="R59" s="497" t="n">
        <x:f>IF($S59="No",0,SUMIF('Cost Drivers'!$B$48:$B$105,$K59,'Cost Drivers'!$F$48:$F$105)*$P59)</x:f>
        <x:v>0</x:v>
      </x:c>
      <x:c r="S59" s="492" t="str">
        <x:v>Yes</x:v>
      </x:c>
      <x:c r="T59" s="470" t="str">
        <x:f>IF($S59="No","Disabled",IF('Cost Center'!$F$5="Planning",IF($M59="","Missing","Planning"),IF('Cost Center'!$F$5="Contracted",IF($N59="","Missing","Contracted"),IF($O59="","Missing","Actual"))))</x:f>
        <x:v>Missing</x:v>
      </x:c>
      <x:c r="U59" s="470" t="str">
        <x:v>Contract required</x:v>
      </x:c>
      <x:c r="V59" s="470" t="str">
        <x:v>Enter only when incremental to usage fees.</x:v>
      </x:c>
    </x:row>
    <x:row r="60" ht="42" customHeight="1">
      <x:c r="A60" s="448"/>
      <x:c r="B60" s="464" t="str">
        <x:v>I015</x:v>
      </x:c>
      <x:c r="C60" s="464" t="str">
        <x:v>Issuing Ops &amp; Risk</x:v>
      </x:c>
      <x:c r="D60" s="464" t="str">
        <x:v>Issuing</x:v>
      </x:c>
      <x:c r="E60" s="464" t="str">
        <x:v>Verify &amp; Activate</x:v>
      </x:c>
      <x:c r="F60" s="464" t="str">
        <x:v>Compliance &amp; legal</x:v>
      </x:c>
      <x:c r="G60" s="464" t="str">
        <x:v>Personal</x:v>
      </x:c>
      <x:c r="H60" s="464" t="str">
        <x:v>Consumer onboarding</x:v>
      </x:c>
      <x:c r="I60" s="464" t="str">
        <x:v>Consumer KYC vendor check</x:v>
      </x:c>
      <x:c r="J60" s="464" t="str">
        <x:v>KYC vendor</x:v>
      </x:c>
      <x:c r="K60" s="464" t="str">
        <x:v>CONSUMER_KYC_CHECKS</x:v>
      </x:c>
      <x:c r="L60" s="464" t="str">
        <x:v>checks</x:v>
      </x:c>
      <x:c r="M60" s="485"/>
      <x:c r="N60" s="485"/>
      <x:c r="O60" s="485"/>
      <x:c r="P60" s="499" t="n">
        <x:f>IF($S60="No",0,IF('Cost Center'!$F$5="Planning",IF($M60="",0,$M60),IF('Cost Center'!$F$5="Contracted",IF($N60="",0,$N60),IF($O60="",0,$O60))))</x:f>
        <x:v>0</x:v>
      </x:c>
      <x:c r="Q60" s="491" t="n">
        <x:f>IF($S60="No",0,SUMIF('Cost Drivers'!$B$48:$B$105,$K60,'Cost Drivers'!$E$48:$E$105)*$P60)</x:f>
        <x:v>0</x:v>
      </x:c>
      <x:c r="R60" s="491" t="n">
        <x:f>IF($S60="No",0,SUMIF('Cost Drivers'!$B$48:$B$105,$K60,'Cost Drivers'!$F$48:$F$105)*$P60)</x:f>
        <x:v>0</x:v>
      </x:c>
      <x:c r="S60" s="492" t="str">
        <x:v>Yes</x:v>
      </x:c>
      <x:c r="T60" s="464" t="str">
        <x:f>IF($S60="No","Disabled",IF('Cost Center'!$F$5="Planning",IF($M60="","Missing","Planning"),IF('Cost Center'!$F$5="Contracted",IF($N60="","Missing","Contracted"),IF($O60="","Missing","Actual"))))</x:f>
        <x:v>Missing</x:v>
      </x:c>
      <x:c r="U60" s="464" t="str">
        <x:v>Contract required</x:v>
      </x:c>
      <x:c r="V60" s="464" t="str">
        <x:v>Can share identity evidence, but commercial and consumer approvals remain distinct.</x:v>
      </x:c>
    </x:row>
    <x:row r="61" ht="42" customHeight="1">
      <x:c r="A61" s="448"/>
      <x:c r="B61" s="470" t="str">
        <x:v>I016</x:v>
      </x:c>
      <x:c r="C61" s="470" t="str">
        <x:v>Issuing Ops &amp; Risk</x:v>
      </x:c>
      <x:c r="D61" s="470" t="str">
        <x:v>Issuing</x:v>
      </x:c>
      <x:c r="E61" s="470" t="str">
        <x:v>Verify &amp; Activate</x:v>
      </x:c>
      <x:c r="F61" s="470" t="str">
        <x:v>Compliance &amp; legal</x:v>
      </x:c>
      <x:c r="G61" s="470" t="str">
        <x:v>Seller</x:v>
      </x:c>
      <x:c r="H61" s="470" t="str">
        <x:v>Commercial onboarding</x:v>
      </x:c>
      <x:c r="I61" s="470" t="str">
        <x:v>Commercial KYB vendor check</x:v>
      </x:c>
      <x:c r="J61" s="470" t="str">
        <x:v>KYB vendor</x:v>
      </x:c>
      <x:c r="K61" s="470" t="str">
        <x:v>KYB_CHECKS</x:v>
      </x:c>
      <x:c r="L61" s="470" t="str">
        <x:v>checks</x:v>
      </x:c>
      <x:c r="M61" s="485"/>
      <x:c r="N61" s="485"/>
      <x:c r="O61" s="485"/>
      <x:c r="P61" s="501" t="n">
        <x:f>IF($S61="No",0,IF('Cost Center'!$F$5="Planning",IF($M61="",0,$M61),IF('Cost Center'!$F$5="Contracted",IF($N61="",0,$N61),IF($O61="",0,$O61))))</x:f>
        <x:v>0</x:v>
      </x:c>
      <x:c r="Q61" s="497" t="n">
        <x:f>IF($S61="No",0,SUMIF('Cost Drivers'!$B$48:$B$105,$K61,'Cost Drivers'!$E$48:$E$105)*$P61)</x:f>
        <x:v>0</x:v>
      </x:c>
      <x:c r="R61" s="497" t="n">
        <x:f>IF($S61="No",0,SUMIF('Cost Drivers'!$B$48:$B$105,$K61,'Cost Drivers'!$F$48:$F$105)*$P61)</x:f>
        <x:v>0</x:v>
      </x:c>
      <x:c r="S61" s="492" t="str">
        <x:v>No</x:v>
      </x:c>
      <x:c r="T61" s="470" t="str">
        <x:f>IF($S61="No","Disabled",IF('Cost Center'!$F$5="Planning",IF($M61="","Missing","Planning"),IF('Cost Center'!$F$5="Contracted",IF($N61="","Missing","Contracted"),IF($O61="","Missing","Actual"))))</x:f>
        <x:v>Disabled</x:v>
      </x:c>
      <x:c r="U61" s="470" t="str">
        <x:v>Contract required</x:v>
      </x:c>
      <x:c r="V61" s="470" t="str">
        <x:v>Disabled by default to avoid double-counting PayFac KYB.</x:v>
      </x:c>
    </x:row>
    <x:row r="62" ht="42" customHeight="1">
      <x:c r="A62" s="448"/>
      <x:c r="B62" s="464" t="str">
        <x:v>I017</x:v>
      </x:c>
      <x:c r="C62" s="464" t="str">
        <x:v>Issuing Ops &amp; Risk</x:v>
      </x:c>
      <x:c r="D62" s="464" t="str">
        <x:v>Issuing</x:v>
      </x:c>
      <x:c r="E62" s="464" t="str">
        <x:v>Pay &amp; Spend</x:v>
      </x:c>
      <x:c r="F62" s="464" t="str">
        <x:v>Vendor &amp; processing</x:v>
      </x:c>
      <x:c r="G62" s="464" t="str">
        <x:v>Cross-platform</x:v>
      </x:c>
      <x:c r="H62" s="464" t="str">
        <x:v>Authorization</x:v>
      </x:c>
      <x:c r="I62" s="464" t="str">
        <x:v>Authorization fee</x:v>
      </x:c>
      <x:c r="J62" s="464" t="str">
        <x:v>Issuer processor</x:v>
      </x:c>
      <x:c r="K62" s="464" t="str">
        <x:v>PURCHASE_AUTH_ATTEMPTS</x:v>
      </x:c>
      <x:c r="L62" s="464" t="str">
        <x:v>attempts</x:v>
      </x:c>
      <x:c r="M62" s="485"/>
      <x:c r="N62" s="485"/>
      <x:c r="O62" s="485"/>
      <x:c r="P62" s="499" t="n">
        <x:f>IF($S62="No",0,IF('Cost Center'!$F$5="Planning",IF($M62="",0,$M62),IF('Cost Center'!$F$5="Contracted",IF($N62="",0,$N62),IF($O62="",0,$O62))))</x:f>
        <x:v>0</x:v>
      </x:c>
      <x:c r="Q62" s="491" t="n">
        <x:f>IF($S62="No",0,SUMIF('Cost Drivers'!$B$48:$B$105,$K62,'Cost Drivers'!$E$48:$E$105)*$P62)</x:f>
        <x:v>0</x:v>
      </x:c>
      <x:c r="R62" s="491" t="n">
        <x:f>IF($S62="No",0,SUMIF('Cost Drivers'!$B$48:$B$105,$K62,'Cost Drivers'!$F$48:$F$105)*$P62)</x:f>
        <x:v>0</x:v>
      </x:c>
      <x:c r="S62" s="492" t="str">
        <x:v>Yes</x:v>
      </x:c>
      <x:c r="T62" s="464" t="str">
        <x:f>IF($S62="No","Disabled",IF('Cost Center'!$F$5="Planning",IF($M62="","Missing","Planning"),IF('Cost Center'!$F$5="Contracted",IF($N62="","Missing","Contracted"),IF($O62="","Missing","Actual"))))</x:f>
        <x:v>Missing</x:v>
      </x:c>
      <x:c r="U62" s="464" t="str">
        <x:v>Contract required</x:v>
      </x:c>
      <x:c r="V62" s="464" t="str">
        <x:v>Enter if not included in percentage fee.</x:v>
      </x:c>
    </x:row>
    <x:row r="63" ht="42" customHeight="1">
      <x:c r="A63" s="448"/>
      <x:c r="B63" s="470" t="str">
        <x:v>I018</x:v>
      </x:c>
      <x:c r="C63" s="470" t="str">
        <x:v>Issuing Ops &amp; Risk</x:v>
      </x:c>
      <x:c r="D63" s="470" t="str">
        <x:v>Issuing</x:v>
      </x:c>
      <x:c r="E63" s="470" t="str">
        <x:v>Pay &amp; Spend</x:v>
      </x:c>
      <x:c r="F63" s="470" t="str">
        <x:v>Vendor &amp; processing</x:v>
      </x:c>
      <x:c r="G63" s="470" t="str">
        <x:v>Cross-platform</x:v>
      </x:c>
      <x:c r="H63" s="470" t="str">
        <x:v>Clearing</x:v>
      </x:c>
      <x:c r="I63" s="470" t="str">
        <x:v>Cleared transaction fee</x:v>
      </x:c>
      <x:c r="J63" s="470" t="str">
        <x:v>Issuer processor</x:v>
      </x:c>
      <x:c r="K63" s="470" t="str">
        <x:v>PURCHASE_TRANSACTIONS</x:v>
      </x:c>
      <x:c r="L63" s="470" t="str">
        <x:v>transactions</x:v>
      </x:c>
      <x:c r="M63" s="485"/>
      <x:c r="N63" s="485"/>
      <x:c r="O63" s="485"/>
      <x:c r="P63" s="501" t="n">
        <x:f>IF($S63="No",0,IF('Cost Center'!$F$5="Planning",IF($M63="",0,$M63),IF('Cost Center'!$F$5="Contracted",IF($N63="",0,$N63),IF($O63="",0,$O63))))</x:f>
        <x:v>0</x:v>
      </x:c>
      <x:c r="Q63" s="497" t="n">
        <x:f>IF($S63="No",0,SUMIF('Cost Drivers'!$B$48:$B$105,$K63,'Cost Drivers'!$E$48:$E$105)*$P63)</x:f>
        <x:v>0</x:v>
      </x:c>
      <x:c r="R63" s="497" t="n">
        <x:f>IF($S63="No",0,SUMIF('Cost Drivers'!$B$48:$B$105,$K63,'Cost Drivers'!$F$48:$F$105)*$P63)</x:f>
        <x:v>0</x:v>
      </x:c>
      <x:c r="S63" s="492" t="str">
        <x:v>Yes</x:v>
      </x:c>
      <x:c r="T63" s="470" t="str">
        <x:f>IF($S63="No","Disabled",IF('Cost Center'!$F$5="Planning",IF($M63="","Missing","Planning"),IF('Cost Center'!$F$5="Contracted",IF($N63="","Missing","Contracted"),IF($O63="","Missing","Actual"))))</x:f>
        <x:v>Missing</x:v>
      </x:c>
      <x:c r="U63" s="470" t="str">
        <x:v>Contract required</x:v>
      </x:c>
      <x:c r="V63" s="470" t="str">
        <x:v>Enter if not included in percentage fee.</x:v>
      </x:c>
    </x:row>
    <x:row r="64" ht="42" customHeight="1">
      <x:c r="A64" s="448"/>
      <x:c r="B64" s="464" t="str">
        <x:v>I019</x:v>
      </x:c>
      <x:c r="C64" s="464" t="str">
        <x:v>Issuing Ops &amp; Risk</x:v>
      </x:c>
      <x:c r="D64" s="464" t="str">
        <x:v>Issuing</x:v>
      </x:c>
      <x:c r="E64" s="464" t="str">
        <x:v>Serve &amp; Protect</x:v>
      </x:c>
      <x:c r="F64" s="464" t="str">
        <x:v>Compliance &amp; legal</x:v>
      </x:c>
      <x:c r="G64" s="464" t="str">
        <x:v>Personal</x:v>
      </x:c>
      <x:c r="H64" s="464" t="str">
        <x:v>Credit reporting</x:v>
      </x:c>
      <x:c r="I64" s="464" t="str">
        <x:v>Bureau reporting cost</x:v>
      </x:c>
      <x:c r="J64" s="464" t="str">
        <x:v>Credit bureau</x:v>
      </x:c>
      <x:c r="K64" s="464" t="str">
        <x:v>ISSUED_ACCOUNT_MONTHS</x:v>
      </x:c>
      <x:c r="L64" s="464" t="str">
        <x:v>account-months</x:v>
      </x:c>
      <x:c r="M64" s="485"/>
      <x:c r="N64" s="485"/>
      <x:c r="O64" s="485"/>
      <x:c r="P64" s="499" t="n">
        <x:f>IF($S64="No",0,IF('Cost Center'!$F$5="Planning",IF($M64="",0,$M64),IF('Cost Center'!$F$5="Contracted",IF($N64="",0,$N64),IF($O64="",0,$O64))))</x:f>
        <x:v>0</x:v>
      </x:c>
      <x:c r="Q64" s="491" t="n">
        <x:f>IF($S64="No",0,SUMIF('Cost Drivers'!$B$48:$B$105,$K64,'Cost Drivers'!$E$48:$E$105)*$P64)</x:f>
        <x:v>0</x:v>
      </x:c>
      <x:c r="R64" s="491" t="n">
        <x:f>IF($S64="No",0,SUMIF('Cost Drivers'!$B$48:$B$105,$K64,'Cost Drivers'!$F$48:$F$105)*$P64)</x:f>
        <x:v>0</x:v>
      </x:c>
      <x:c r="S64" s="492" t="str">
        <x:v>Yes</x:v>
      </x:c>
      <x:c r="T64" s="464" t="str">
        <x:f>IF($S64="No","Disabled",IF('Cost Center'!$F$5="Planning",IF($M64="","Missing","Planning"),IF('Cost Center'!$F$5="Contracted",IF($N64="","Missing","Contracted"),IF($O64="","Missing","Actual"))))</x:f>
        <x:v>Missing</x:v>
      </x:c>
      <x:c r="U64" s="464" t="str">
        <x:v>Contract required</x:v>
      </x:c>
      <x:c r="V64" s="464" t="str">
        <x:v>Consumer product only where supported.</x:v>
      </x:c>
    </x:row>
    <x:row r="65" ht="42" customHeight="1">
      <x:c r="A65" s="448"/>
      <x:c r="B65" s="470" t="str">
        <x:v>I020</x:v>
      </x:c>
      <x:c r="C65" s="470" t="str">
        <x:v>Issuing Ops &amp; Risk</x:v>
      </x:c>
      <x:c r="D65" s="470" t="str">
        <x:v>Issuing</x:v>
      </x:c>
      <x:c r="E65" s="470" t="str">
        <x:v>Serve &amp; Protect</x:v>
      </x:c>
      <x:c r="F65" s="470" t="str">
        <x:v>Labor &amp; support</x:v>
      </x:c>
      <x:c r="G65" s="470" t="str">
        <x:v>Cross-platform</x:v>
      </x:c>
      <x:c r="H65" s="470" t="str">
        <x:v>Collections</x:v>
      </x:c>
      <x:c r="I65" s="470" t="str">
        <x:v>Collections / recovery cost</x:v>
      </x:c>
      <x:c r="J65" s="470" t="str">
        <x:v>Collections vendor</x:v>
      </x:c>
      <x:c r="K65" s="470" t="str">
        <x:v>ISSUING_DISPUTES</x:v>
      </x:c>
      <x:c r="L65" s="470" t="str">
        <x:v>events</x:v>
      </x:c>
      <x:c r="M65" s="485"/>
      <x:c r="N65" s="485"/>
      <x:c r="O65" s="485"/>
      <x:c r="P65" s="501" t="n">
        <x:f>IF($S65="No",0,IF('Cost Center'!$F$5="Planning",IF($M65="",0,$M65),IF('Cost Center'!$F$5="Contracted",IF($N65="",0,$N65),IF($O65="",0,$O65))))</x:f>
        <x:v>0</x:v>
      </x:c>
      <x:c r="Q65" s="497" t="n">
        <x:f>IF($S65="No",0,SUMIF('Cost Drivers'!$B$48:$B$105,$K65,'Cost Drivers'!$E$48:$E$105)*$P65)</x:f>
        <x:v>0</x:v>
      </x:c>
      <x:c r="R65" s="497" t="n">
        <x:f>IF($S65="No",0,SUMIF('Cost Drivers'!$B$48:$B$105,$K65,'Cost Drivers'!$F$48:$F$105)*$P65)</x:f>
        <x:v>0</x:v>
      </x:c>
      <x:c r="S65" s="492" t="str">
        <x:v>No</x:v>
      </x:c>
      <x:c r="T65" s="470" t="str">
        <x:f>IF($S65="No","Disabled",IF('Cost Center'!$F$5="Planning",IF($M65="","Missing","Planning"),IF('Cost Center'!$F$5="Contracted",IF($N65="","Missing","Contracted"),IF($O65="","Missing","Actual"))))</x:f>
        <x:v>Disabled</x:v>
      </x:c>
      <x:c r="U65" s="470" t="str">
        <x:v>Future program</x:v>
      </x:c>
      <x:c r="V65" s="470" t="str">
        <x:v>Use a dedicated collections driver when revolving or longer-cycle credit exists.</x:v>
      </x:c>
    </x:row>
    <x:row r="66" ht="42" customHeight="1">
      <x:c r="A66" s="448"/>
      <x:c r="B66" s="464" t="str">
        <x:v>I021</x:v>
      </x:c>
      <x:c r="C66" s="464" t="str">
        <x:v>Issuing Ops &amp; Risk</x:v>
      </x:c>
      <x:c r="D66" s="464" t="str">
        <x:v>Issuing</x:v>
      </x:c>
      <x:c r="E66" s="464" t="str">
        <x:v>Pay &amp; Spend</x:v>
      </x:c>
      <x:c r="F66" s="464" t="str">
        <x:v>Vendor &amp; processing</x:v>
      </x:c>
      <x:c r="G66" s="464" t="str">
        <x:v>Cross-platform</x:v>
      </x:c>
      <x:c r="H66" s="464" t="str">
        <x:v>Collateral</x:v>
      </x:c>
      <x:c r="I66" s="464" t="str">
        <x:v>Collateral account fee</x:v>
      </x:c>
      <x:c r="J66" s="464" t="str">
        <x:v>Bank / ledger provider</x:v>
      </x:c>
      <x:c r="K66" s="464" t="str">
        <x:v>COLLATERAL_ACCOUNT_MONTHS</x:v>
      </x:c>
      <x:c r="L66" s="464" t="str">
        <x:v>account-months</x:v>
      </x:c>
      <x:c r="M66" s="485"/>
      <x:c r="N66" s="485"/>
      <x:c r="O66" s="485"/>
      <x:c r="P66" s="499" t="n">
        <x:f>IF($S66="No",0,IF('Cost Center'!$F$5="Planning",IF($M66="",0,$M66),IF('Cost Center'!$F$5="Contracted",IF($N66="",0,$N66),IF($O66="",0,$O66))))</x:f>
        <x:v>0</x:v>
      </x:c>
      <x:c r="Q66" s="491" t="n">
        <x:f>IF($S66="No",0,SUMIF('Cost Drivers'!$B$48:$B$105,$K66,'Cost Drivers'!$E$48:$E$105)*$P66)</x:f>
        <x:v>0</x:v>
      </x:c>
      <x:c r="R66" s="491" t="n">
        <x:f>IF($S66="No",0,SUMIF('Cost Drivers'!$B$48:$B$105,$K66,'Cost Drivers'!$F$48:$F$105)*$P66)</x:f>
        <x:v>0</x:v>
      </x:c>
      <x:c r="S66" s="492" t="str">
        <x:v>Yes</x:v>
      </x:c>
      <x:c r="T66" s="464" t="str">
        <x:f>IF($S66="No","Disabled",IF('Cost Center'!$F$5="Planning",IF($M66="","Missing","Planning"),IF('Cost Center'!$F$5="Contracted",IF($N66="","Missing","Contracted"),IF($O66="","Missing","Actual"))))</x:f>
        <x:v>Missing</x:v>
      </x:c>
      <x:c r="U66" s="464" t="str">
        <x:v>Contract required</x:v>
      </x:c>
      <x:c r="V66" s="464" t="str">
        <x:v>Collateral is not revenue and may have custody costs.</x:v>
      </x:c>
    </x:row>
    <x:row r="67" ht="42" customHeight="1">
      <x:c r="A67" s="448"/>
      <x:c r="B67" s="470" t="str">
        <x:v>I022</x:v>
      </x:c>
      <x:c r="C67" s="470" t="str">
        <x:v>Issuing Ops &amp; Risk</x:v>
      </x:c>
      <x:c r="D67" s="470" t="str">
        <x:v>Issuing</x:v>
      </x:c>
      <x:c r="E67" s="470" t="str">
        <x:v>Pay &amp; Spend</x:v>
      </x:c>
      <x:c r="F67" s="470" t="str">
        <x:v>Funding &amp; liquidity</x:v>
      </x:c>
      <x:c r="G67" s="470" t="str">
        <x:v>Cross-platform</x:v>
      </x:c>
      <x:c r="H67" s="470" t="str">
        <x:v>Collateral</x:v>
      </x:c>
      <x:c r="I67" s="470" t="str">
        <x:v>Deposit / custody cost</x:v>
      </x:c>
      <x:c r="J67" s="470" t="str">
        <x:v>Bank / treasury</x:v>
      </x:c>
      <x:c r="K67" s="470" t="str">
        <x:v>COLLATERAL_BALANCE_$</x:v>
      </x:c>
      <x:c r="L67" s="470" t="str">
        <x:v>USD average</x:v>
      </x:c>
      <x:c r="M67" s="486"/>
      <x:c r="N67" s="486"/>
      <x:c r="O67" s="486"/>
      <x:c r="P67" s="494" t="n">
        <x:f>IF($S67="No",0,IF('Cost Center'!$F$5="Planning",IF($M67="",0,$M67),IF('Cost Center'!$F$5="Contracted",IF($N67="",0,$N67),IF($O67="",0,$O67))))</x:f>
        <x:v>0</x:v>
      </x:c>
      <x:c r="Q67" s="497" t="n">
        <x:f>IF($S67="No",0,SUMIF('Cost Drivers'!$B$48:$B$105,$K67,'Cost Drivers'!$E$48:$E$105)*$P67)</x:f>
        <x:v>0</x:v>
      </x:c>
      <x:c r="R67" s="497" t="n">
        <x:f>IF($S67="No",0,SUMIF('Cost Drivers'!$B$48:$B$105,$K67,'Cost Drivers'!$F$48:$F$105)*$P67)</x:f>
        <x:v>0</x:v>
      </x:c>
      <x:c r="S67" s="492" t="str">
        <x:v>Yes</x:v>
      </x:c>
      <x:c r="T67" s="470" t="str">
        <x:f>IF($S67="No","Disabled",IF('Cost Center'!$F$5="Planning",IF($M67="","Missing","Planning"),IF('Cost Center'!$F$5="Contracted",IF($N67="","Missing","Contracted"),IF($O67="","Missing","Actual"))))</x:f>
        <x:v>Missing</x:v>
      </x:c>
      <x:c r="U67" s="470" t="str">
        <x:v>Contract required</x:v>
      </x:c>
      <x:c r="V67" s="470" t="str">
        <x:v>Use net cost or income assigned by the bank agreement.</x:v>
      </x:c>
    </x:row>
    <x:row r="68" ht="42" customHeight="1">
      <x:c r="A68" s="448"/>
      <x:c r="B68" s="464" t="str">
        <x:v>I023</x:v>
      </x:c>
      <x:c r="C68" s="464" t="str">
        <x:v>Compliance &amp; Finance</x:v>
      </x:c>
      <x:c r="D68" s="464" t="str">
        <x:v>Issuing</x:v>
      </x:c>
      <x:c r="E68" s="464" t="str">
        <x:v>Serve &amp; Protect</x:v>
      </x:c>
      <x:c r="F68" s="464" t="str">
        <x:v>Compliance &amp; legal</x:v>
      </x:c>
      <x:c r="G68" s="464" t="str">
        <x:v>Cross-platform</x:v>
      </x:c>
      <x:c r="H68" s="464" t="str">
        <x:v>Account servicing</x:v>
      </x:c>
      <x:c r="I68" s="464" t="str">
        <x:v>Regulatory account servicing</x:v>
      </x:c>
      <x:c r="J68" s="464" t="str">
        <x:v>Compliance operations</x:v>
      </x:c>
      <x:c r="K68" s="464" t="str">
        <x:v>ISSUED_ACCOUNT_MONTHS</x:v>
      </x:c>
      <x:c r="L68" s="464" t="str">
        <x:v>account-months</x:v>
      </x:c>
      <x:c r="M68" s="485" t="n">
        <x:v>0.5</x:v>
      </x:c>
      <x:c r="N68" s="485"/>
      <x:c r="O68" s="485"/>
      <x:c r="P68" s="499" t="n">
        <x:f>IF($S68="No",0,IF('Cost Center'!$F$5="Planning",IF($M68="",0,$M68),IF('Cost Center'!$F$5="Contracted",IF($N68="",0,$N68),IF($O68="",0,$O68))))</x:f>
        <x:v>0.5</x:v>
      </x:c>
      <x:c r="Q68" s="491" t="n">
        <x:f>IF($S68="No",0,SUMIF('Cost Drivers'!$B$48:$B$105,$K68,'Cost Drivers'!$E$48:$E$105)*$P68)</x:f>
        <x:v>12</x:v>
      </x:c>
      <x:c r="R68" s="491" t="n">
        <x:f>IF($S68="No",0,SUMIF('Cost Drivers'!$B$48:$B$105,$K68,'Cost Drivers'!$F$48:$F$105)*$P68)</x:f>
        <x:v>12</x:v>
      </x:c>
      <x:c r="S68" s="492" t="str">
        <x:v>Yes</x:v>
      </x:c>
      <x:c r="T68" s="464" t="str">
        <x:f>IF($S68="No","Disabled",IF('Cost Center'!$F$5="Planning",IF($M68="","Missing","Planning"),IF('Cost Center'!$F$5="Contracted",IF($N68="","Missing","Contracted"),IF($O68="","Missing","Actual"))))</x:f>
        <x:v>Planning</x:v>
      </x:c>
      <x:c r="U68" s="464" t="str">
        <x:v>Internal planning assumption</x:v>
      </x:c>
      <x:c r="V68" s="464" t="str">
        <x:v>Program compliance and periodic account review allowance.</x:v>
      </x:c>
    </x:row>
    <x:row r="69" ht="42" customHeight="1">
      <x:c r="A69" s="448"/>
      <x:c r="B69" s="470" t="str">
        <x:v>I024</x:v>
      </x:c>
      <x:c r="C69" s="470" t="str">
        <x:v>Partner &amp; Channel</x:v>
      </x:c>
      <x:c r="D69" s="470" t="str">
        <x:v>Partner</x:v>
      </x:c>
      <x:c r="E69" s="470" t="str">
        <x:v>Pay &amp; Spend</x:v>
      </x:c>
      <x:c r="F69" s="470" t="str">
        <x:v>Partner &amp; channel</x:v>
      </x:c>
      <x:c r="G69" s="470" t="str">
        <x:v>Cross-platform</x:v>
      </x:c>
      <x:c r="H69" s="470" t="str">
        <x:v>Wholesale partner</x:v>
      </x:c>
      <x:c r="I69" s="470" t="str">
        <x:v>Partner share of issuer income</x:v>
      </x:c>
      <x:c r="J69" s="470" t="str">
        <x:v>Partner</x:v>
      </x:c>
      <x:c r="K69" s="470" t="str">
        <x:v>PARTNER_ISSUER_INCOME_$</x:v>
      </x:c>
      <x:c r="L69" s="470" t="str">
        <x:v>USD</x:v>
      </x:c>
      <x:c r="M69" s="486" t="n">
        <x:v>0</x:v>
      </x:c>
      <x:c r="N69" s="486"/>
      <x:c r="O69" s="486"/>
      <x:c r="P69" s="494" t="n">
        <x:f>IF($S69="No",0,IF('Cost Center'!$F$5="Planning",IF($M69="",0,$M69),IF('Cost Center'!$F$5="Contracted",IF($N69="",0,$N69),IF($O69="",0,$O69))))</x:f>
        <x:v>0</x:v>
      </x:c>
      <x:c r="Q69" s="497" t="n">
        <x:f>IF($S69="No",0,SUMIF('Cost Drivers'!$B$48:$B$105,$K69,'Cost Drivers'!$E$48:$E$105)*$P69)</x:f>
        <x:v>0</x:v>
      </x:c>
      <x:c r="R69" s="497" t="n">
        <x:f>IF($S69="No",0,SUMIF('Cost Drivers'!$B$48:$B$105,$K69,'Cost Drivers'!$F$48:$F$105)*$P69)</x:f>
        <x:v>0</x:v>
      </x:c>
      <x:c r="S69" s="492" t="str">
        <x:v>No</x:v>
      </x:c>
      <x:c r="T69" s="470" t="str">
        <x:f>IF($S69="No","Disabled",IF('Cost Center'!$F$5="Planning",IF($M69="","Missing","Planning"),IF('Cost Center'!$F$5="Contracted",IF($N69="","Missing","Contracted"),IF($O69="","Missing","Actual"))))</x:f>
        <x:v>Disabled</x:v>
      </x:c>
      <x:c r="U69" s="470" t="str">
        <x:v>Future program</x:v>
      </x:c>
      <x:c r="V69" s="470" t="str">
        <x:v>Enable when revenue-share basis is contracted.</x:v>
      </x:c>
    </x:row>
    <x:row r="70" ht="42" customHeight="1">
      <x:c r="A70" s="448"/>
      <x:c r="B70" s="464" t="str">
        <x:v>I025</x:v>
      </x:c>
      <x:c r="C70" s="464" t="str">
        <x:v>Partner &amp; Channel</x:v>
      </x:c>
      <x:c r="D70" s="464" t="str">
        <x:v>Partner</x:v>
      </x:c>
      <x:c r="E70" s="464" t="str">
        <x:v>Verify &amp; Activate</x:v>
      </x:c>
      <x:c r="F70" s="464" t="str">
        <x:v>Partner &amp; channel</x:v>
      </x:c>
      <x:c r="G70" s="464" t="str">
        <x:v>Cross-platform</x:v>
      </x:c>
      <x:c r="H70" s="464" t="str">
        <x:v>Wholesale partner</x:v>
      </x:c>
      <x:c r="I70" s="464" t="str">
        <x:v>Co-brand / white-label program fee</x:v>
      </x:c>
      <x:c r="J70" s="464" t="str">
        <x:v>Partner / vendor</x:v>
      </x:c>
      <x:c r="K70" s="464" t="str">
        <x:v>PARTNER_PROGRAMS</x:v>
      </x:c>
      <x:c r="L70" s="464" t="str">
        <x:v>programs</x:v>
      </x:c>
      <x:c r="M70" s="485" t="n">
        <x:v>0</x:v>
      </x:c>
      <x:c r="N70" s="485"/>
      <x:c r="O70" s="485"/>
      <x:c r="P70" s="499" t="n">
        <x:f>IF($S70="No",0,IF('Cost Center'!$F$5="Planning",IF($M70="",0,$M70),IF('Cost Center'!$F$5="Contracted",IF($N70="",0,$N70),IF($O70="",0,$O70))))</x:f>
        <x:v>0</x:v>
      </x:c>
      <x:c r="Q70" s="491" t="n">
        <x:f>IF($S70="No",0,SUMIF('Cost Drivers'!$B$48:$B$105,$K70,'Cost Drivers'!$E$48:$E$105)*$P70)</x:f>
        <x:v>0</x:v>
      </x:c>
      <x:c r="R70" s="491" t="n">
        <x:f>IF($S70="No",0,SUMIF('Cost Drivers'!$B$48:$B$105,$K70,'Cost Drivers'!$F$48:$F$105)*$P70)</x:f>
        <x:v>0</x:v>
      </x:c>
      <x:c r="S70" s="492" t="str">
        <x:v>No</x:v>
      </x:c>
      <x:c r="T70" s="464" t="str">
        <x:f>IF($S70="No","Disabled",IF('Cost Center'!$F$5="Planning",IF($M70="","Missing","Planning"),IF('Cost Center'!$F$5="Contracted",IF($N70="","Missing","Contracted"),IF($O70="","Missing","Actual"))))</x:f>
        <x:v>Disabled</x:v>
      </x:c>
      <x:c r="U70" s="464" t="str">
        <x:v>Future program</x:v>
      </x:c>
      <x:c r="V70" s="464" t="str">
        <x:v>Use for co-brand setup, certification and maintenance.</x:v>
      </x:c>
    </x:row>
    <x:row r="71" ht="42" customHeight="1">
      <x:c r="A71" s="448"/>
      <x:c r="B71" s="470" t="str">
        <x:v>S001</x:v>
      </x:c>
      <x:c r="C71" s="470" t="str">
        <x:v>Compliance &amp; Finance</x:v>
      </x:c>
      <x:c r="D71" s="470" t="str">
        <x:v>Shared</x:v>
      </x:c>
      <x:c r="E71" s="470" t="str">
        <x:v>Serve &amp; Protect</x:v>
      </x:c>
      <x:c r="F71" s="470" t="str">
        <x:v>Compliance &amp; legal</x:v>
      </x:c>
      <x:c r="G71" s="470" t="str">
        <x:v>Cross-platform</x:v>
      </x:c>
      <x:c r="H71" s="470" t="str">
        <x:v>Compliance</x:v>
      </x:c>
      <x:c r="I71" s="470" t="str">
        <x:v>Compliance labor</x:v>
      </x:c>
      <x:c r="J71" s="470" t="str">
        <x:v>Compliance team</x:v>
      </x:c>
      <x:c r="K71" s="470" t="str">
        <x:v>COMPLIANCE_HOURS</x:v>
      </x:c>
      <x:c r="L71" s="470" t="str">
        <x:v>hours</x:v>
      </x:c>
      <x:c r="M71" s="485" t="n">
        <x:v>50</x:v>
      </x:c>
      <x:c r="N71" s="485"/>
      <x:c r="O71" s="485"/>
      <x:c r="P71" s="501" t="n">
        <x:f>IF($S71="No",0,IF('Cost Center'!$F$5="Planning",IF($M71="",0,$M71),IF('Cost Center'!$F$5="Contracted",IF($N71="",0,$N71),IF($O71="",0,$O71))))</x:f>
        <x:v>50</x:v>
      </x:c>
      <x:c r="Q71" s="497" t="n">
        <x:f>IF($S71="No",0,SUMIF('Cost Drivers'!$B$48:$B$105,$K71,'Cost Drivers'!$E$48:$E$105)*$P71)</x:f>
        <x:v>50</x:v>
      </x:c>
      <x:c r="R71" s="497" t="n">
        <x:f>IF($S71="No",0,SUMIF('Cost Drivers'!$B$48:$B$105,$K71,'Cost Drivers'!$F$48:$F$105)*$P71)</x:f>
        <x:v>50</x:v>
      </x:c>
      <x:c r="S71" s="492" t="str">
        <x:v>Yes</x:v>
      </x:c>
      <x:c r="T71" s="470" t="str">
        <x:f>IF($S71="No","Disabled",IF('Cost Center'!$F$5="Planning",IF($M71="","Missing","Planning"),IF('Cost Center'!$F$5="Contracted",IF($N71="","Missing","Contracted"),IF($O71="","Missing","Actual"))))</x:f>
        <x:v>Planning</x:v>
      </x:c>
      <x:c r="U71" s="470" t="str">
        <x:v>Internal planning assumption</x:v>
      </x:c>
      <x:c r="V71" s="470" t="str">
        <x:v>Illustrative loaded compliance rate.</x:v>
      </x:c>
    </x:row>
    <x:row r="72" ht="42" customHeight="1">
      <x:c r="A72" s="448"/>
      <x:c r="B72" s="464" t="str">
        <x:v>S002</x:v>
      </x:c>
      <x:c r="C72" s="464" t="str">
        <x:v>Compliance &amp; Finance</x:v>
      </x:c>
      <x:c r="D72" s="464" t="str">
        <x:v>Shared</x:v>
      </x:c>
      <x:c r="E72" s="464" t="str">
        <x:v>Get Paid</x:v>
      </x:c>
      <x:c r="F72" s="464" t="str">
        <x:v>Labor &amp; support</x:v>
      </x:c>
      <x:c r="G72" s="464" t="str">
        <x:v>Cross-platform</x:v>
      </x:c>
      <x:c r="H72" s="464" t="str">
        <x:v>Finance and reconciliation</x:v>
      </x:c>
      <x:c r="I72" s="464" t="str">
        <x:v>Finance / reconciliation labor</x:v>
      </x:c>
      <x:c r="J72" s="464" t="str">
        <x:v>Finance operations</x:v>
      </x:c>
      <x:c r="K72" s="464" t="str">
        <x:v>FINANCE_RECON_HOURS</x:v>
      </x:c>
      <x:c r="L72" s="464" t="str">
        <x:v>hours</x:v>
      </x:c>
      <x:c r="M72" s="485" t="n">
        <x:v>40</x:v>
      </x:c>
      <x:c r="N72" s="485"/>
      <x:c r="O72" s="485"/>
      <x:c r="P72" s="499" t="n">
        <x:f>IF($S72="No",0,IF('Cost Center'!$F$5="Planning",IF($M72="",0,$M72),IF('Cost Center'!$F$5="Contracted",IF($N72="",0,$N72),IF($O72="",0,$O72))))</x:f>
        <x:v>40</x:v>
      </x:c>
      <x:c r="Q72" s="491" t="n">
        <x:f>IF($S72="No",0,SUMIF('Cost Drivers'!$B$48:$B$105,$K72,'Cost Drivers'!$E$48:$E$105)*$P72)</x:f>
        <x:v>40</x:v>
      </x:c>
      <x:c r="R72" s="491" t="n">
        <x:f>IF($S72="No",0,SUMIF('Cost Drivers'!$B$48:$B$105,$K72,'Cost Drivers'!$F$48:$F$105)*$P72)</x:f>
        <x:v>40</x:v>
      </x:c>
      <x:c r="S72" s="492" t="str">
        <x:v>Yes</x:v>
      </x:c>
      <x:c r="T72" s="464" t="str">
        <x:f>IF($S72="No","Disabled",IF('Cost Center'!$F$5="Planning",IF($M72="","Missing","Planning"),IF('Cost Center'!$F$5="Contracted",IF($N72="","Missing","Contracted"),IF($O72="","Missing","Actual"))))</x:f>
        <x:v>Planning</x:v>
      </x:c>
      <x:c r="U72" s="464" t="str">
        <x:v>Internal planning assumption</x:v>
      </x:c>
      <x:c r="V72" s="464" t="str">
        <x:v>Reconciliation, treasury and close support.</x:v>
      </x:c>
    </x:row>
    <x:row r="73" ht="42" customHeight="1">
      <x:c r="A73" s="448"/>
      <x:c r="B73" s="470" t="str">
        <x:v>S003</x:v>
      </x:c>
      <x:c r="C73" s="470" t="str">
        <x:v>Customer Service</x:v>
      </x:c>
      <x:c r="D73" s="470" t="str">
        <x:v>Shared</x:v>
      </x:c>
      <x:c r="E73" s="470" t="str">
        <x:v>Serve &amp; Protect</x:v>
      </x:c>
      <x:c r="F73" s="470" t="str">
        <x:v>Labor &amp; support</x:v>
      </x:c>
      <x:c r="G73" s="470" t="str">
        <x:v>Cross-platform</x:v>
      </x:c>
      <x:c r="H73" s="470" t="str">
        <x:v>Complaints</x:v>
      </x:c>
      <x:c r="I73" s="470" t="str">
        <x:v>Complaint handling labor</x:v>
      </x:c>
      <x:c r="J73" s="470" t="str">
        <x:v>Customer service / compliance</x:v>
      </x:c>
      <x:c r="K73" s="470" t="str">
        <x:v>COMPLAINT_OPS_HOURS</x:v>
      </x:c>
      <x:c r="L73" s="470" t="str">
        <x:v>hours</x:v>
      </x:c>
      <x:c r="M73" s="485" t="n">
        <x:v>35</x:v>
      </x:c>
      <x:c r="N73" s="485"/>
      <x:c r="O73" s="485"/>
      <x:c r="P73" s="501" t="n">
        <x:f>IF($S73="No",0,IF('Cost Center'!$F$5="Planning",IF($M73="",0,$M73),IF('Cost Center'!$F$5="Contracted",IF($N73="",0,$N73),IF($O73="",0,$O73))))</x:f>
        <x:v>35</x:v>
      </x:c>
      <x:c r="Q73" s="497" t="n">
        <x:f>IF($S73="No",0,SUMIF('Cost Drivers'!$B$48:$B$105,$K73,'Cost Drivers'!$E$48:$E$105)*$P73)</x:f>
        <x:v>3.5</x:v>
      </x:c>
      <x:c r="R73" s="497" t="n">
        <x:f>IF($S73="No",0,SUMIF('Cost Drivers'!$B$48:$B$105,$K73,'Cost Drivers'!$F$48:$F$105)*$P73)</x:f>
        <x:v>3.5</x:v>
      </x:c>
      <x:c r="S73" s="492" t="str">
        <x:v>Yes</x:v>
      </x:c>
      <x:c r="T73" s="470" t="str">
        <x:f>IF($S73="No","Disabled",IF('Cost Center'!$F$5="Planning",IF($M73="","Missing","Planning"),IF('Cost Center'!$F$5="Contracted",IF($N73="","Missing","Contracted"),IF($O73="","Missing","Actual"))))</x:f>
        <x:v>Planning</x:v>
      </x:c>
      <x:c r="U73" s="470" t="str">
        <x:v>Internal planning assumption</x:v>
      </x:c>
      <x:c r="V73" s="470" t="str">
        <x:v>Formal complaint intake and resolution.</x:v>
      </x:c>
    </x:row>
    <x:row r="74" ht="42" customHeight="1">
      <x:c r="A74" s="448"/>
      <x:c r="B74" s="464" t="str">
        <x:v>S004</x:v>
      </x:c>
      <x:c r="C74" s="464" t="str">
        <x:v>Technology &amp; Data</x:v>
      </x:c>
      <x:c r="D74" s="464" t="str">
        <x:v>Shared</x:v>
      </x:c>
      <x:c r="E74" s="464" t="str">
        <x:v>Use</x:v>
      </x:c>
      <x:c r="F74" s="464" t="str">
        <x:v>Technology &amp; data</x:v>
      </x:c>
      <x:c r="G74" s="464" t="str">
        <x:v>Cross-platform</x:v>
      </x:c>
      <x:c r="H74" s="464" t="str">
        <x:v>Operations</x:v>
      </x:c>
      <x:c r="I74" s="464" t="str">
        <x:v>Monitoring and incident tooling</x:v>
      </x:c>
      <x:c r="J74" s="464" t="str">
        <x:v>Technology vendors</x:v>
      </x:c>
      <x:c r="K74" s="464" t="str">
        <x:v>MEMBER_MONTHS</x:v>
      </x:c>
      <x:c r="L74" s="464" t="str">
        <x:v>member-months</x:v>
      </x:c>
      <x:c r="M74" s="485" t="n">
        <x:v>0.5</x:v>
      </x:c>
      <x:c r="N74" s="485"/>
      <x:c r="O74" s="485"/>
      <x:c r="P74" s="499" t="n">
        <x:f>IF($S74="No",0,IF('Cost Center'!$F$5="Planning",IF($M74="",0,$M74),IF('Cost Center'!$F$5="Contracted",IF($N74="",0,$N74),IF($O74="",0,$O74))))</x:f>
        <x:v>0.5</x:v>
      </x:c>
      <x:c r="Q74" s="491" t="n">
        <x:f>IF($S74="No",0,SUMIF('Cost Drivers'!$B$48:$B$105,$K74,'Cost Drivers'!$E$48:$E$105)*$P74)</x:f>
        <x:v>6</x:v>
      </x:c>
      <x:c r="R74" s="491" t="n">
        <x:f>IF($S74="No",0,SUMIF('Cost Drivers'!$B$48:$B$105,$K74,'Cost Drivers'!$F$48:$F$105)*$P74)</x:f>
        <x:v>6</x:v>
      </x:c>
      <x:c r="S74" s="492" t="str">
        <x:v>Yes</x:v>
      </x:c>
      <x:c r="T74" s="464" t="str">
        <x:f>IF($S74="No","Disabled",IF('Cost Center'!$F$5="Planning",IF($M74="","Missing","Planning"),IF('Cost Center'!$F$5="Contracted",IF($N74="","Missing","Contracted"),IF($O74="","Missing","Actual"))))</x:f>
        <x:v>Planning</x:v>
      </x:c>
      <x:c r="U74" s="464" t="str">
        <x:v>Internal planning assumption</x:v>
      </x:c>
      <x:c r="V74" s="464" t="str">
        <x:v>Per-member observability and incident allowance.</x:v>
      </x:c>
    </x:row>
    <x:row r="75" ht="42" customHeight="1">
      <x:c r="A75" s="448"/>
      <x:c r="B75" s="470" t="str">
        <x:v>S005</x:v>
      </x:c>
      <x:c r="C75" s="470" t="str">
        <x:v>Technology &amp; Data</x:v>
      </x:c>
      <x:c r="D75" s="470" t="str">
        <x:v>Shared</x:v>
      </x:c>
      <x:c r="E75" s="470" t="str">
        <x:v>Use</x:v>
      </x:c>
      <x:c r="F75" s="470" t="str">
        <x:v>Technology &amp; data</x:v>
      </x:c>
      <x:c r="G75" s="470" t="str">
        <x:v>Cross-platform</x:v>
      </x:c>
      <x:c r="H75" s="470" t="str">
        <x:v>Data</x:v>
      </x:c>
      <x:c r="I75" s="470" t="str">
        <x:v>Data warehouse and reporting</x:v>
      </x:c>
      <x:c r="J75" s="470" t="str">
        <x:v>Data platform</x:v>
      </x:c>
      <x:c r="K75" s="470" t="str">
        <x:v>MEMBER_MONTHS</x:v>
      </x:c>
      <x:c r="L75" s="470" t="str">
        <x:v>member-months</x:v>
      </x:c>
      <x:c r="M75" s="485" t="n">
        <x:v>0.5</x:v>
      </x:c>
      <x:c r="N75" s="485"/>
      <x:c r="O75" s="485"/>
      <x:c r="P75" s="501" t="n">
        <x:f>IF($S75="No",0,IF('Cost Center'!$F$5="Planning",IF($M75="",0,$M75),IF('Cost Center'!$F$5="Contracted",IF($N75="",0,$N75),IF($O75="",0,$O75))))</x:f>
        <x:v>0.5</x:v>
      </x:c>
      <x:c r="Q75" s="497" t="n">
        <x:f>IF($S75="No",0,SUMIF('Cost Drivers'!$B$48:$B$105,$K75,'Cost Drivers'!$E$48:$E$105)*$P75)</x:f>
        <x:v>6</x:v>
      </x:c>
      <x:c r="R75" s="497" t="n">
        <x:f>IF($S75="No",0,SUMIF('Cost Drivers'!$B$48:$B$105,$K75,'Cost Drivers'!$F$48:$F$105)*$P75)</x:f>
        <x:v>6</x:v>
      </x:c>
      <x:c r="S75" s="492" t="str">
        <x:v>Yes</x:v>
      </x:c>
      <x:c r="T75" s="470" t="str">
        <x:f>IF($S75="No","Disabled",IF('Cost Center'!$F$5="Planning",IF($M75="","Missing","Planning"),IF('Cost Center'!$F$5="Contracted",IF($N75="","Missing","Contracted"),IF($O75="","Missing","Actual"))))</x:f>
        <x:v>Planning</x:v>
      </x:c>
      <x:c r="U75" s="470" t="str">
        <x:v>Internal planning assumption</x:v>
      </x:c>
      <x:c r="V75" s="470" t="str">
        <x:v>Per-member analytics and reporting allowance.</x:v>
      </x:c>
    </x:row>
    <x:row r="76" ht="42" customHeight="1">
      <x:c r="A76" s="448"/>
      <x:c r="B76" s="464" t="str">
        <x:v>S006</x:v>
      </x:c>
      <x:c r="C76" s="464" t="str">
        <x:v>Technology &amp; Data</x:v>
      </x:c>
      <x:c r="D76" s="464" t="str">
        <x:v>Shared</x:v>
      </x:c>
      <x:c r="E76" s="464" t="str">
        <x:v>Use</x:v>
      </x:c>
      <x:c r="F76" s="464" t="str">
        <x:v>Technology &amp; data</x:v>
      </x:c>
      <x:c r="G76" s="464" t="str">
        <x:v>Cross-platform</x:v>
      </x:c>
      <x:c r="H76" s="464" t="str">
        <x:v>CRM / lifecycle</x:v>
      </x:c>
      <x:c r="I76" s="464" t="str">
        <x:v>CRM and customer-lifecycle software</x:v>
      </x:c>
      <x:c r="J76" s="464" t="str">
        <x:v>CRM vendor</x:v>
      </x:c>
      <x:c r="K76" s="464" t="str">
        <x:v>INTERNAL_USER_MONTHS</x:v>
      </x:c>
      <x:c r="L76" s="464" t="str">
        <x:v>user-months</x:v>
      </x:c>
      <x:c r="M76" s="485"/>
      <x:c r="N76" s="485"/>
      <x:c r="O76" s="485"/>
      <x:c r="P76" s="499" t="n">
        <x:f>IF($S76="No",0,IF('Cost Center'!$F$5="Planning",IF($M76="",0,$M76),IF('Cost Center'!$F$5="Contracted",IF($N76="",0,$N76),IF($O76="",0,$O76))))</x:f>
        <x:v>0</x:v>
      </x:c>
      <x:c r="Q76" s="491" t="n">
        <x:f>IF($S76="No",0,SUMIF('Cost Drivers'!$B$48:$B$105,$K76,'Cost Drivers'!$E$48:$E$105)*$P76)</x:f>
        <x:v>0</x:v>
      </x:c>
      <x:c r="R76" s="491" t="n">
        <x:f>IF($S76="No",0,SUMIF('Cost Drivers'!$B$48:$B$105,$K76,'Cost Drivers'!$F$48:$F$105)*$P76)</x:f>
        <x:v>0</x:v>
      </x:c>
      <x:c r="S76" s="492" t="str">
        <x:v>Yes</x:v>
      </x:c>
      <x:c r="T76" s="464" t="str">
        <x:f>IF($S76="No","Disabled",IF('Cost Center'!$F$5="Planning",IF($M76="","Missing","Planning"),IF('Cost Center'!$F$5="Contracted",IF($N76="","Missing","Contracted"),IF($O76="","Missing","Actual"))))</x:f>
        <x:v>Missing</x:v>
      </x:c>
      <x:c r="U76" s="464" t="str">
        <x:v>Contract required</x:v>
      </x:c>
      <x:c r="V76" s="464" t="str">
        <x:v>Salesforce-like customer and lifecycle platform.</x:v>
      </x:c>
    </x:row>
    <x:row r="77" ht="42" customHeight="1">
      <x:c r="A77" s="448"/>
      <x:c r="B77" s="470" t="str">
        <x:v>S007</x:v>
      </x:c>
      <x:c r="C77" s="470" t="str">
        <x:v>Technology &amp; Data</x:v>
      </x:c>
      <x:c r="D77" s="470" t="str">
        <x:v>Shared</x:v>
      </x:c>
      <x:c r="E77" s="470" t="str">
        <x:v>Serve &amp; Protect</x:v>
      </x:c>
      <x:c r="F77" s="470" t="str">
        <x:v>Technology &amp; data</x:v>
      </x:c>
      <x:c r="G77" s="470" t="str">
        <x:v>Cross-platform</x:v>
      </x:c>
      <x:c r="H77" s="470" t="str">
        <x:v>Workflow / case management</x:v>
      </x:c>
      <x:c r="I77" s="470" t="str">
        <x:v>Workflow and case-management software</x:v>
      </x:c>
      <x:c r="J77" s="470" t="str">
        <x:v>Workflow vendor</x:v>
      </x:c>
      <x:c r="K77" s="470" t="str">
        <x:v>INTERNAL_USER_MONTHS</x:v>
      </x:c>
      <x:c r="L77" s="470" t="str">
        <x:v>user-months</x:v>
      </x:c>
      <x:c r="M77" s="485"/>
      <x:c r="N77" s="485"/>
      <x:c r="O77" s="485"/>
      <x:c r="P77" s="501" t="n">
        <x:f>IF($S77="No",0,IF('Cost Center'!$F$5="Planning",IF($M77="",0,$M77),IF('Cost Center'!$F$5="Contracted",IF($N77="",0,$N77),IF($O77="",0,$O77))))</x:f>
        <x:v>0</x:v>
      </x:c>
      <x:c r="Q77" s="497" t="n">
        <x:f>IF($S77="No",0,SUMIF('Cost Drivers'!$B$48:$B$105,$K77,'Cost Drivers'!$E$48:$E$105)*$P77)</x:f>
        <x:v>0</x:v>
      </x:c>
      <x:c r="R77" s="497" t="n">
        <x:f>IF($S77="No",0,SUMIF('Cost Drivers'!$B$48:$B$105,$K77,'Cost Drivers'!$F$48:$F$105)*$P77)</x:f>
        <x:v>0</x:v>
      </x:c>
      <x:c r="S77" s="492" t="str">
        <x:v>Yes</x:v>
      </x:c>
      <x:c r="T77" s="470" t="str">
        <x:f>IF($S77="No","Disabled",IF('Cost Center'!$F$5="Planning",IF($M77="","Missing","Planning"),IF('Cost Center'!$F$5="Contracted",IF($N77="","Missing","Contracted"),IF($O77="","Missing","Actual"))))</x:f>
        <x:v>Missing</x:v>
      </x:c>
      <x:c r="U77" s="470" t="str">
        <x:v>Contract required</x:v>
      </x:c>
      <x:c r="V77" s="470" t="str">
        <x:v>ServiceNow-like operations and case workspace.</x:v>
      </x:c>
    </x:row>
    <x:row r="78" ht="42" customHeight="1">
      <x:c r="A78" s="448"/>
      <x:c r="B78" s="464" t="str">
        <x:v>S008</x:v>
      </x:c>
      <x:c r="C78" s="464" t="str">
        <x:v>Compliance &amp; Finance</x:v>
      </x:c>
      <x:c r="D78" s="464" t="str">
        <x:v>Shared</x:v>
      </x:c>
      <x:c r="E78" s="464" t="str">
        <x:v>Reward &amp; Retain</x:v>
      </x:c>
      <x:c r="F78" s="464" t="str">
        <x:v>Technology &amp; data</x:v>
      </x:c>
      <x:c r="G78" s="464" t="str">
        <x:v>Cross-platform</x:v>
      </x:c>
      <x:c r="H78" s="464" t="str">
        <x:v>ERP / finance</x:v>
      </x:c>
      <x:c r="I78" s="464" t="str">
        <x:v>ERP and financial-management software</x:v>
      </x:c>
      <x:c r="J78" s="464" t="str">
        <x:v>ERP vendor</x:v>
      </x:c>
      <x:c r="K78" s="464" t="str">
        <x:v>INTERNAL_USER_MONTHS</x:v>
      </x:c>
      <x:c r="L78" s="464" t="str">
        <x:v>user-months</x:v>
      </x:c>
      <x:c r="M78" s="485"/>
      <x:c r="N78" s="485"/>
      <x:c r="O78" s="485"/>
      <x:c r="P78" s="499" t="n">
        <x:f>IF($S78="No",0,IF('Cost Center'!$F$5="Planning",IF($M78="",0,$M78),IF('Cost Center'!$F$5="Contracted",IF($N78="",0,$N78),IF($O78="",0,$O78))))</x:f>
        <x:v>0</x:v>
      </x:c>
      <x:c r="Q78" s="491" t="n">
        <x:f>IF($S78="No",0,SUMIF('Cost Drivers'!$B$48:$B$105,$K78,'Cost Drivers'!$E$48:$E$105)*$P78)</x:f>
        <x:v>0</x:v>
      </x:c>
      <x:c r="R78" s="491" t="n">
        <x:f>IF($S78="No",0,SUMIF('Cost Drivers'!$B$48:$B$105,$K78,'Cost Drivers'!$F$48:$F$105)*$P78)</x:f>
        <x:v>0</x:v>
      </x:c>
      <x:c r="S78" s="492" t="str">
        <x:v>Yes</x:v>
      </x:c>
      <x:c r="T78" s="464" t="str">
        <x:f>IF($S78="No","Disabled",IF('Cost Center'!$F$5="Planning",IF($M78="","Missing","Planning"),IF('Cost Center'!$F$5="Contracted",IF($N78="","Missing","Contracted"),IF($O78="","Missing","Actual"))))</x:f>
        <x:v>Missing</x:v>
      </x:c>
      <x:c r="U78" s="464" t="str">
        <x:v>Contract required</x:v>
      </x:c>
      <x:c r="V78" s="464" t="str">
        <x:v>SAP-like finance, cost and allocation platform.</x:v>
      </x:c>
    </x:row>
    <x:row r="79" ht="42" customHeight="1">
      <x:c r="A79" s="448"/>
      <x:c r="B79" s="470" t="str">
        <x:v>S009</x:v>
      </x:c>
      <x:c r="C79" s="470" t="str">
        <x:v>Compliance &amp; Finance</x:v>
      </x:c>
      <x:c r="D79" s="470" t="str">
        <x:v>Shared</x:v>
      </x:c>
      <x:c r="E79" s="470" t="str">
        <x:v>Serve &amp; Protect</x:v>
      </x:c>
      <x:c r="F79" s="470" t="str">
        <x:v>Compliance &amp; legal</x:v>
      </x:c>
      <x:c r="G79" s="470" t="str">
        <x:v>Cross-platform</x:v>
      </x:c>
      <x:c r="H79" s="470" t="str">
        <x:v>Governance</x:v>
      </x:c>
      <x:c r="I79" s="470" t="str">
        <x:v>Legal, audit and insurance</x:v>
      </x:c>
      <x:c r="J79" s="470" t="str">
        <x:v>External advisors / insurers</x:v>
      </x:c>
      <x:c r="K79" s="470" t="str">
        <x:v>PROGRAMS</x:v>
      </x:c>
      <x:c r="L79" s="470" t="str">
        <x:v>programs</x:v>
      </x:c>
      <x:c r="M79" s="485"/>
      <x:c r="N79" s="485"/>
      <x:c r="O79" s="485"/>
      <x:c r="P79" s="501" t="n">
        <x:f>IF($S79="No",0,IF('Cost Center'!$F$5="Planning",IF($M79="",0,$M79),IF('Cost Center'!$F$5="Contracted",IF($N79="",0,$N79),IF($O79="",0,$O79))))</x:f>
        <x:v>0</x:v>
      </x:c>
      <x:c r="Q79" s="497" t="n">
        <x:f>IF($S79="No",0,SUMIF('Cost Drivers'!$B$48:$B$105,$K79,'Cost Drivers'!$E$48:$E$105)*$P79)</x:f>
        <x:v>0</x:v>
      </x:c>
      <x:c r="R79" s="497" t="n">
        <x:f>IF($S79="No",0,SUMIF('Cost Drivers'!$B$48:$B$105,$K79,'Cost Drivers'!$F$48:$F$105)*$P79)</x:f>
        <x:v>0</x:v>
      </x:c>
      <x:c r="S79" s="492" t="str">
        <x:v>Yes</x:v>
      </x:c>
      <x:c r="T79" s="470" t="str">
        <x:f>IF($S79="No","Disabled",IF('Cost Center'!$F$5="Planning",IF($M79="","Missing","Planning"),IF('Cost Center'!$F$5="Contracted",IF($N79="","Missing","Contracted"),IF($O79="","Missing","Actual"))))</x:f>
        <x:v>Missing</x:v>
      </x:c>
      <x:c r="U79" s="470" t="str">
        <x:v>Contract required</x:v>
      </x:c>
      <x:c r="V79" s="470" t="str">
        <x:v>Annualized legal, audit, insurance and governance.</x:v>
      </x:c>
    </x:row>
    <x:row r="80" ht="42" customHeight="1">
      <x:c r="A80" s="448"/>
      <x:c r="B80" s="464" t="str">
        <x:v>S010</x:v>
      </x:c>
      <x:c r="C80" s="464" t="str">
        <x:v>Technology &amp; Data</x:v>
      </x:c>
      <x:c r="D80" s="464" t="str">
        <x:v>Shared</x:v>
      </x:c>
      <x:c r="E80" s="464" t="str">
        <x:v>Use</x:v>
      </x:c>
      <x:c r="F80" s="464" t="str">
        <x:v>Technology &amp; data</x:v>
      </x:c>
      <x:c r="G80" s="464" t="str">
        <x:v>Cross-platform</x:v>
      </x:c>
      <x:c r="H80" s="464" t="str">
        <x:v>Product engineering</x:v>
      </x:c>
      <x:c r="I80" s="464" t="str">
        <x:v>Product and engineering allocation</x:v>
      </x:c>
      <x:c r="J80" s="464" t="str">
        <x:v>Internal team</x:v>
      </x:c>
      <x:c r="K80" s="464" t="str">
        <x:v>PROGRAMS</x:v>
      </x:c>
      <x:c r="L80" s="464" t="str">
        <x:v>programs</x:v>
      </x:c>
      <x:c r="M80" s="485"/>
      <x:c r="N80" s="485"/>
      <x:c r="O80" s="485"/>
      <x:c r="P80" s="499" t="n">
        <x:f>IF($S80="No",0,IF('Cost Center'!$F$5="Planning",IF($M80="",0,$M80),IF('Cost Center'!$F$5="Contracted",IF($N80="",0,$N80),IF($O80="",0,$O80))))</x:f>
        <x:v>0</x:v>
      </x:c>
      <x:c r="Q80" s="491" t="n">
        <x:f>IF($S80="No",0,SUMIF('Cost Drivers'!$B$48:$B$105,$K80,'Cost Drivers'!$E$48:$E$105)*$P80)</x:f>
        <x:v>0</x:v>
      </x:c>
      <x:c r="R80" s="491" t="n">
        <x:f>IF($S80="No",0,SUMIF('Cost Drivers'!$B$48:$B$105,$K80,'Cost Drivers'!$F$48:$F$105)*$P80)</x:f>
        <x:v>0</x:v>
      </x:c>
      <x:c r="S80" s="492" t="str">
        <x:v>Yes</x:v>
      </x:c>
      <x:c r="T80" s="464" t="str">
        <x:f>IF($S80="No","Disabled",IF('Cost Center'!$F$5="Planning",IF($M80="","Missing","Planning"),IF('Cost Center'!$F$5="Contracted",IF($N80="","Missing","Contracted"),IF($O80="","Missing","Actual"))))</x:f>
        <x:v>Missing</x:v>
      </x:c>
      <x:c r="U80" s="464" t="str">
        <x:v>Management input required</x:v>
      </x:c>
      <x:c r="V80" s="464" t="str">
        <x:v>Allocate only the portion intended for customer unit economics.</x:v>
      </x:c>
    </x:row>
    <x:row r="81" ht="42" customHeight="1">
      <x:c r="A81" s="448"/>
      <x:c r="B81" s="470" t="str">
        <x:v>S011</x:v>
      </x:c>
      <x:c r="C81" s="470" t="str">
        <x:v>Compliance &amp; Finance</x:v>
      </x:c>
      <x:c r="D81" s="470" t="str">
        <x:v>Shared</x:v>
      </x:c>
      <x:c r="E81" s="470" t="str">
        <x:v>Verify &amp; Activate</x:v>
      </x:c>
      <x:c r="F81" s="470" t="str">
        <x:v>Compliance &amp; legal</x:v>
      </x:c>
      <x:c r="G81" s="470" t="str">
        <x:v>Cross-platform</x:v>
      </x:c>
      <x:c r="H81" s="470" t="str">
        <x:v>Licensing</x:v>
      </x:c>
      <x:c r="I81" s="470" t="str">
        <x:v>Regulatory licenses and examinations</x:v>
      </x:c>
      <x:c r="J81" s="470" t="str">
        <x:v>Regulators / advisors</x:v>
      </x:c>
      <x:c r="K81" s="470" t="str">
        <x:v>PROGRAMS</x:v>
      </x:c>
      <x:c r="L81" s="470" t="str">
        <x:v>programs</x:v>
      </x:c>
      <x:c r="M81" s="485"/>
      <x:c r="N81" s="485"/>
      <x:c r="O81" s="485"/>
      <x:c r="P81" s="501" t="n">
        <x:f>IF($S81="No",0,IF('Cost Center'!$F$5="Planning",IF($M81="",0,$M81),IF('Cost Center'!$F$5="Contracted",IF($N81="",0,$N81),IF($O81="",0,$O81))))</x:f>
        <x:v>0</x:v>
      </x:c>
      <x:c r="Q81" s="497" t="n">
        <x:f>IF($S81="No",0,SUMIF('Cost Drivers'!$B$48:$B$105,$K81,'Cost Drivers'!$E$48:$E$105)*$P81)</x:f>
        <x:v>0</x:v>
      </x:c>
      <x:c r="R81" s="497" t="n">
        <x:f>IF($S81="No",0,SUMIF('Cost Drivers'!$B$48:$B$105,$K81,'Cost Drivers'!$F$48:$F$105)*$P81)</x:f>
        <x:v>0</x:v>
      </x:c>
      <x:c r="S81" s="492" t="str">
        <x:v>Yes</x:v>
      </x:c>
      <x:c r="T81" s="470" t="str">
        <x:f>IF($S81="No","Disabled",IF('Cost Center'!$F$5="Planning",IF($M81="","Missing","Planning"),IF('Cost Center'!$F$5="Contracted",IF($N81="","Missing","Contracted"),IF($O81="","Missing","Actual"))))</x:f>
        <x:v>Missing</x:v>
      </x:c>
      <x:c r="U81" s="470" t="str">
        <x:v>Management input required</x:v>
      </x:c>
      <x:c r="V81" s="470" t="str">
        <x:v>Annualized program-level cost.</x:v>
      </x:c>
    </x:row>
    <x:row r="82" ht="42" customHeight="1">
      <x:c r="A82" s="448"/>
      <x:c r="B82" s="464" t="str">
        <x:v>S012</x:v>
      </x:c>
      <x:c r="C82" s="464" t="str">
        <x:v>Technology &amp; Data</x:v>
      </x:c>
      <x:c r="D82" s="464" t="str">
        <x:v>Shared</x:v>
      </x:c>
      <x:c r="E82" s="464" t="str">
        <x:v>Serve &amp; Protect</x:v>
      </x:c>
      <x:c r="F82" s="464" t="str">
        <x:v>Compliance &amp; legal</x:v>
      </x:c>
      <x:c r="G82" s="464" t="str">
        <x:v>Cross-platform</x:v>
      </x:c>
      <x:c r="H82" s="464" t="str">
        <x:v>Security</x:v>
      </x:c>
      <x:c r="I82" s="464" t="str">
        <x:v>Security testing and audit</x:v>
      </x:c>
      <x:c r="J82" s="464" t="str">
        <x:v>Security vendors</x:v>
      </x:c>
      <x:c r="K82" s="464" t="str">
        <x:v>PROGRAMS</x:v>
      </x:c>
      <x:c r="L82" s="464" t="str">
        <x:v>programs</x:v>
      </x:c>
      <x:c r="M82" s="485"/>
      <x:c r="N82" s="485"/>
      <x:c r="O82" s="485"/>
      <x:c r="P82" s="499" t="n">
        <x:f>IF($S82="No",0,IF('Cost Center'!$F$5="Planning",IF($M82="",0,$M82),IF('Cost Center'!$F$5="Contracted",IF($N82="",0,$N82),IF($O82="",0,$O82))))</x:f>
        <x:v>0</x:v>
      </x:c>
      <x:c r="Q82" s="491" t="n">
        <x:f>IF($S82="No",0,SUMIF('Cost Drivers'!$B$48:$B$105,$K82,'Cost Drivers'!$E$48:$E$105)*$P82)</x:f>
        <x:v>0</x:v>
      </x:c>
      <x:c r="R82" s="491" t="n">
        <x:f>IF($S82="No",0,SUMIF('Cost Drivers'!$B$48:$B$105,$K82,'Cost Drivers'!$F$48:$F$105)*$P82)</x:f>
        <x:v>0</x:v>
      </x:c>
      <x:c r="S82" s="492" t="str">
        <x:v>Yes</x:v>
      </x:c>
      <x:c r="T82" s="464" t="str">
        <x:f>IF($S82="No","Disabled",IF('Cost Center'!$F$5="Planning",IF($M82="","Missing","Planning"),IF('Cost Center'!$F$5="Contracted",IF($N82="","Missing","Contracted"),IF($O82="","Missing","Actual"))))</x:f>
        <x:v>Missing</x:v>
      </x:c>
      <x:c r="U82" s="464" t="str">
        <x:v>Contract required</x:v>
      </x:c>
      <x:c r="V82" s="464" t="str">
        <x:v>Penetration testing, audits and certifications.</x:v>
      </x:c>
    </x:row>
    <x:row r="83" ht="42" customHeight="1">
      <x:c r="A83" s="448"/>
      <x:c r="B83" s="470" t="str">
        <x:v>S013</x:v>
      </x:c>
      <x:c r="C83" s="470" t="str">
        <x:v>Partner &amp; Channel</x:v>
      </x:c>
      <x:c r="D83" s="470" t="str">
        <x:v>Partner</x:v>
      </x:c>
      <x:c r="E83" s="470" t="str">
        <x:v>Reward &amp; Retain</x:v>
      </x:c>
      <x:c r="F83" s="470" t="str">
        <x:v>Partner &amp; channel</x:v>
      </x:c>
      <x:c r="G83" s="470" t="str">
        <x:v>Cross-platform</x:v>
      </x:c>
      <x:c r="H83" s="470" t="str">
        <x:v>Wholesale partner</x:v>
      </x:c>
      <x:c r="I83" s="470" t="str">
        <x:v>Marketing development fund</x:v>
      </x:c>
      <x:c r="J83" s="470" t="str">
        <x:v>Partner</x:v>
      </x:c>
      <x:c r="K83" s="470" t="str">
        <x:v>PARTNER_PROGRAMS</x:v>
      </x:c>
      <x:c r="L83" s="470" t="str">
        <x:v>programs</x:v>
      </x:c>
      <x:c r="M83" s="485" t="n">
        <x:v>0</x:v>
      </x:c>
      <x:c r="N83" s="485"/>
      <x:c r="O83" s="485"/>
      <x:c r="P83" s="501" t="n">
        <x:f>IF($S83="No",0,IF('Cost Center'!$F$5="Planning",IF($M83="",0,$M83),IF('Cost Center'!$F$5="Contracted",IF($N83="",0,$N83),IF($O83="",0,$O83))))</x:f>
        <x:v>0</x:v>
      </x:c>
      <x:c r="Q83" s="497" t="n">
        <x:f>IF($S83="No",0,SUMIF('Cost Drivers'!$B$48:$B$105,$K83,'Cost Drivers'!$E$48:$E$105)*$P83)</x:f>
        <x:v>0</x:v>
      </x:c>
      <x:c r="R83" s="497" t="n">
        <x:f>IF($S83="No",0,SUMIF('Cost Drivers'!$B$48:$B$105,$K83,'Cost Drivers'!$F$48:$F$105)*$P83)</x:f>
        <x:v>0</x:v>
      </x:c>
      <x:c r="S83" s="492" t="str">
        <x:v>No</x:v>
      </x:c>
      <x:c r="T83" s="470" t="str">
        <x:f>IF($S83="No","Disabled",IF('Cost Center'!$F$5="Planning",IF($M83="","Missing","Planning"),IF('Cost Center'!$F$5="Contracted",IF($N83="","Missing","Contracted"),IF($O83="","Missing","Actual"))))</x:f>
        <x:v>Disabled</x:v>
      </x:c>
      <x:c r="U83" s="470" t="str">
        <x:v>Future program</x:v>
      </x:c>
      <x:c r="V83" s="470" t="str">
        <x:v>Budget for partner-led growth.</x:v>
      </x:c>
    </x:row>
    <x:row r="84" ht="42" customHeight="1">
      <x:c r="A84" s="448"/>
      <x:c r="B84" s="464" t="str">
        <x:v>S014</x:v>
      </x:c>
      <x:c r="C84" s="464" t="str">
        <x:v>Partner &amp; Channel</x:v>
      </x:c>
      <x:c r="D84" s="464" t="str">
        <x:v>Partner</x:v>
      </x:c>
      <x:c r="E84" s="464" t="str">
        <x:v>Verify &amp; Activate</x:v>
      </x:c>
      <x:c r="F84" s="464" t="str">
        <x:v>Partner &amp; channel</x:v>
      </x:c>
      <x:c r="G84" s="464" t="str">
        <x:v>Cross-platform</x:v>
      </x:c>
      <x:c r="H84" s="464" t="str">
        <x:v>Wholesale partner</x:v>
      </x:c>
      <x:c r="I84" s="464" t="str">
        <x:v>Partner implementation cost</x:v>
      </x:c>
      <x:c r="J84" s="464" t="str">
        <x:v>Partner operations</x:v>
      </x:c>
      <x:c r="K84" s="464" t="str">
        <x:v>PARTNER_PROGRAMS</x:v>
      </x:c>
      <x:c r="L84" s="464" t="str">
        <x:v>programs</x:v>
      </x:c>
      <x:c r="M84" s="485" t="n">
        <x:v>0</x:v>
      </x:c>
      <x:c r="N84" s="485"/>
      <x:c r="O84" s="485"/>
      <x:c r="P84" s="499" t="n">
        <x:f>IF($S84="No",0,IF('Cost Center'!$F$5="Planning",IF($M84="",0,$M84),IF('Cost Center'!$F$5="Contracted",IF($N84="",0,$N84),IF($O84="",0,$O84))))</x:f>
        <x:v>0</x:v>
      </x:c>
      <x:c r="Q84" s="491" t="n">
        <x:f>IF($S84="No",0,SUMIF('Cost Drivers'!$B$48:$B$105,$K84,'Cost Drivers'!$E$48:$E$105)*$P84)</x:f>
        <x:v>0</x:v>
      </x:c>
      <x:c r="R84" s="491" t="n">
        <x:f>IF($S84="No",0,SUMIF('Cost Drivers'!$B$48:$B$105,$K84,'Cost Drivers'!$F$48:$F$105)*$P84)</x:f>
        <x:v>0</x:v>
      </x:c>
      <x:c r="S84" s="492" t="str">
        <x:v>No</x:v>
      </x:c>
      <x:c r="T84" s="464" t="str">
        <x:f>IF($S84="No","Disabled",IF('Cost Center'!$F$5="Planning",IF($M84="","Missing","Planning"),IF('Cost Center'!$F$5="Contracted",IF($N84="","Missing","Contracted"),IF($O84="","Missing","Actual"))))</x:f>
        <x:v>Disabled</x:v>
      </x:c>
      <x:c r="U84" s="464" t="str">
        <x:v>Future program</x:v>
      </x:c>
      <x:c r="V84" s="464" t="str">
        <x:v>Annualized implementation and certification.</x:v>
      </x:c>
    </x:row>
    <x:row r="85" ht="36" customHeight="1">
      <x:c r="A85" s="448"/>
      <x:c r="B85" s="470" t="str">
        <x:v>X01</x:v>
      </x:c>
      <x:c r="C85" s="470" t="str">
        <x:v>Future</x:v>
      </x:c>
      <x:c r="D85" s="470" t="str">
        <x:v>Shared</x:v>
      </x:c>
      <x:c r="E85" s="470" t="str">
        <x:v>Use</x:v>
      </x:c>
      <x:c r="F85" s="470" t="str">
        <x:v>Future cost</x:v>
      </x:c>
      <x:c r="G85" s="470" t="str">
        <x:v>Cross-platform</x:v>
      </x:c>
      <x:c r="H85" s="470" t="str">
        <x:v>Future service</x:v>
      </x:c>
      <x:c r="I85" s="470" t="str">
        <x:v>Add future cost element</x:v>
      </x:c>
      <x:c r="J85" s="470" t="str">
        <x:v>TBD</x:v>
      </x:c>
      <x:c r="K85" s="470" t="str">
        <x:v>PROGRAMS</x:v>
      </x:c>
      <x:c r="L85" s="470" t="str">
        <x:v>programs</x:v>
      </x:c>
      <x:c r="M85" s="485"/>
      <x:c r="N85" s="485"/>
      <x:c r="O85" s="485"/>
      <x:c r="P85" s="501" t="n">
        <x:f>IF($S85="No",0,IF('Cost Center'!$F$5="Planning",IF($M85="",0,$M85),IF('Cost Center'!$F$5="Contracted",IF($N85="",0,$N85),IF($O85="",0,$O85))))</x:f>
        <x:v>0</x:v>
      </x:c>
      <x:c r="Q85" s="496" t="n">
        <x:f>IF($S85="No",0,SUMIF('Cost Drivers'!$B$48:$B$105,$K85,'Cost Drivers'!$E$48:$E$105)*$P85)</x:f>
        <x:v>0</x:v>
      </x:c>
      <x:c r="R85" s="496" t="n">
        <x:f>IF($S85="No",0,SUMIF('Cost Drivers'!$B$48:$B$105,$K85,'Cost Drivers'!$F$48:$F$105)*$P85)</x:f>
        <x:v>0</x:v>
      </x:c>
      <x:c r="S85" s="492" t="str">
        <x:v>No</x:v>
      </x:c>
      <x:c r="T85" s="470" t="str">
        <x:f>IF($S85="No","Disabled",IF('Cost Center'!$F$5="Planning",IF($M85="","Missing","Planning"),IF('Cost Center'!$F$5="Contracted",IF($N85="","Missing","Contracted"),IF($O85="","Missing","Actual"))))</x:f>
        <x:v>Disabled</x:v>
      </x:c>
      <x:c r="U85" s="470" t="str"/>
      <x:c r="V85" s="470" t="str">
        <x:v>Pre-built blank row.</x:v>
      </x:c>
    </x:row>
    <x:row r="86" ht="36" customHeight="1">
      <x:c r="A86" s="448"/>
      <x:c r="B86" s="464" t="str">
        <x:v>X02</x:v>
      </x:c>
      <x:c r="C86" s="464" t="str">
        <x:v>Future</x:v>
      </x:c>
      <x:c r="D86" s="464" t="str">
        <x:v>Shared</x:v>
      </x:c>
      <x:c r="E86" s="464" t="str">
        <x:v>Use</x:v>
      </x:c>
      <x:c r="F86" s="464" t="str">
        <x:v>Future cost</x:v>
      </x:c>
      <x:c r="G86" s="464" t="str">
        <x:v>Cross-platform</x:v>
      </x:c>
      <x:c r="H86" s="464" t="str">
        <x:v>Future service</x:v>
      </x:c>
      <x:c r="I86" s="464" t="str">
        <x:v>Add future cost element</x:v>
      </x:c>
      <x:c r="J86" s="464" t="str">
        <x:v>TBD</x:v>
      </x:c>
      <x:c r="K86" s="464" t="str">
        <x:v>PROGRAMS</x:v>
      </x:c>
      <x:c r="L86" s="464" t="str">
        <x:v>programs</x:v>
      </x:c>
      <x:c r="M86" s="485"/>
      <x:c r="N86" s="485"/>
      <x:c r="O86" s="485"/>
      <x:c r="P86" s="499" t="n">
        <x:f>IF($S86="No",0,IF('Cost Center'!$F$5="Planning",IF($M86="",0,$M86),IF('Cost Center'!$F$5="Contracted",IF($N86="",0,$N86),IF($O86="",0,$O86))))</x:f>
        <x:v>0</x:v>
      </x:c>
      <x:c r="Q86" s="490" t="n">
        <x:f>IF($S86="No",0,SUMIF('Cost Drivers'!$B$48:$B$105,$K86,'Cost Drivers'!$E$48:$E$105)*$P86)</x:f>
        <x:v>0</x:v>
      </x:c>
      <x:c r="R86" s="490" t="n">
        <x:f>IF($S86="No",0,SUMIF('Cost Drivers'!$B$48:$B$105,$K86,'Cost Drivers'!$F$48:$F$105)*$P86)</x:f>
        <x:v>0</x:v>
      </x:c>
      <x:c r="S86" s="492" t="str">
        <x:v>No</x:v>
      </x:c>
      <x:c r="T86" s="464" t="str">
        <x:f>IF($S86="No","Disabled",IF('Cost Center'!$F$5="Planning",IF($M86="","Missing","Planning"),IF('Cost Center'!$F$5="Contracted",IF($N86="","Missing","Contracted"),IF($O86="","Missing","Actual"))))</x:f>
        <x:v>Disabled</x:v>
      </x:c>
      <x:c r="U86" s="464" t="str"/>
      <x:c r="V86" s="464" t="str">
        <x:v>Pre-built blank row.</x:v>
      </x:c>
    </x:row>
    <x:row r="87" ht="36" customHeight="1">
      <x:c r="A87" s="448"/>
      <x:c r="B87" s="470" t="str">
        <x:v>X03</x:v>
      </x:c>
      <x:c r="C87" s="470" t="str">
        <x:v>Future</x:v>
      </x:c>
      <x:c r="D87" s="470" t="str">
        <x:v>Shared</x:v>
      </x:c>
      <x:c r="E87" s="470" t="str">
        <x:v>Use</x:v>
      </x:c>
      <x:c r="F87" s="470" t="str">
        <x:v>Future cost</x:v>
      </x:c>
      <x:c r="G87" s="470" t="str">
        <x:v>Cross-platform</x:v>
      </x:c>
      <x:c r="H87" s="470" t="str">
        <x:v>Future service</x:v>
      </x:c>
      <x:c r="I87" s="470" t="str">
        <x:v>Add future cost element</x:v>
      </x:c>
      <x:c r="J87" s="470" t="str">
        <x:v>TBD</x:v>
      </x:c>
      <x:c r="K87" s="470" t="str">
        <x:v>PROGRAMS</x:v>
      </x:c>
      <x:c r="L87" s="470" t="str">
        <x:v>programs</x:v>
      </x:c>
      <x:c r="M87" s="485"/>
      <x:c r="N87" s="485"/>
      <x:c r="O87" s="485"/>
      <x:c r="P87" s="501" t="n">
        <x:f>IF($S87="No",0,IF('Cost Center'!$F$5="Planning",IF($M87="",0,$M87),IF('Cost Center'!$F$5="Contracted",IF($N87="",0,$N87),IF($O87="",0,$O87))))</x:f>
        <x:v>0</x:v>
      </x:c>
      <x:c r="Q87" s="496" t="n">
        <x:f>IF($S87="No",0,SUMIF('Cost Drivers'!$B$48:$B$105,$K87,'Cost Drivers'!$E$48:$E$105)*$P87)</x:f>
        <x:v>0</x:v>
      </x:c>
      <x:c r="R87" s="496" t="n">
        <x:f>IF($S87="No",0,SUMIF('Cost Drivers'!$B$48:$B$105,$K87,'Cost Drivers'!$F$48:$F$105)*$P87)</x:f>
        <x:v>0</x:v>
      </x:c>
      <x:c r="S87" s="492" t="str">
        <x:v>No</x:v>
      </x:c>
      <x:c r="T87" s="470" t="str">
        <x:f>IF($S87="No","Disabled",IF('Cost Center'!$F$5="Planning",IF($M87="","Missing","Planning"),IF('Cost Center'!$F$5="Contracted",IF($N87="","Missing","Contracted"),IF($O87="","Missing","Actual"))))</x:f>
        <x:v>Disabled</x:v>
      </x:c>
      <x:c r="U87" s="470" t="str"/>
      <x:c r="V87" s="470" t="str">
        <x:v>Pre-built blank row.</x:v>
      </x:c>
    </x:row>
    <x:row r="88" ht="36" customHeight="1">
      <x:c r="A88" s="448"/>
      <x:c r="B88" s="464" t="str">
        <x:v>X04</x:v>
      </x:c>
      <x:c r="C88" s="464" t="str">
        <x:v>Future</x:v>
      </x:c>
      <x:c r="D88" s="464" t="str">
        <x:v>Shared</x:v>
      </x:c>
      <x:c r="E88" s="464" t="str">
        <x:v>Use</x:v>
      </x:c>
      <x:c r="F88" s="464" t="str">
        <x:v>Future cost</x:v>
      </x:c>
      <x:c r="G88" s="464" t="str">
        <x:v>Cross-platform</x:v>
      </x:c>
      <x:c r="H88" s="464" t="str">
        <x:v>Future service</x:v>
      </x:c>
      <x:c r="I88" s="464" t="str">
        <x:v>Add future cost element</x:v>
      </x:c>
      <x:c r="J88" s="464" t="str">
        <x:v>TBD</x:v>
      </x:c>
      <x:c r="K88" s="464" t="str">
        <x:v>PROGRAMS</x:v>
      </x:c>
      <x:c r="L88" s="464" t="str">
        <x:v>programs</x:v>
      </x:c>
      <x:c r="M88" s="485"/>
      <x:c r="N88" s="485"/>
      <x:c r="O88" s="485"/>
      <x:c r="P88" s="499" t="n">
        <x:f>IF($S88="No",0,IF('Cost Center'!$F$5="Planning",IF($M88="",0,$M88),IF('Cost Center'!$F$5="Contracted",IF($N88="",0,$N88),IF($O88="",0,$O88))))</x:f>
        <x:v>0</x:v>
      </x:c>
      <x:c r="Q88" s="490" t="n">
        <x:f>IF($S88="No",0,SUMIF('Cost Drivers'!$B$48:$B$105,$K88,'Cost Drivers'!$E$48:$E$105)*$P88)</x:f>
        <x:v>0</x:v>
      </x:c>
      <x:c r="R88" s="490" t="n">
        <x:f>IF($S88="No",0,SUMIF('Cost Drivers'!$B$48:$B$105,$K88,'Cost Drivers'!$F$48:$F$105)*$P88)</x:f>
        <x:v>0</x:v>
      </x:c>
      <x:c r="S88" s="492" t="str">
        <x:v>No</x:v>
      </x:c>
      <x:c r="T88" s="464" t="str">
        <x:f>IF($S88="No","Disabled",IF('Cost Center'!$F$5="Planning",IF($M88="","Missing","Planning"),IF('Cost Center'!$F$5="Contracted",IF($N88="","Missing","Contracted"),IF($O88="","Missing","Actual"))))</x:f>
        <x:v>Disabled</x:v>
      </x:c>
      <x:c r="U88" s="464" t="str"/>
      <x:c r="V88" s="464" t="str">
        <x:v>Pre-built blank row.</x:v>
      </x:c>
    </x:row>
    <x:row r="89" ht="36" customHeight="1">
      <x:c r="A89" s="448"/>
      <x:c r="B89" s="470" t="str">
        <x:v>X05</x:v>
      </x:c>
      <x:c r="C89" s="470" t="str">
        <x:v>Future</x:v>
      </x:c>
      <x:c r="D89" s="470" t="str">
        <x:v>Shared</x:v>
      </x:c>
      <x:c r="E89" s="470" t="str">
        <x:v>Use</x:v>
      </x:c>
      <x:c r="F89" s="470" t="str">
        <x:v>Future cost</x:v>
      </x:c>
      <x:c r="G89" s="470" t="str">
        <x:v>Cross-platform</x:v>
      </x:c>
      <x:c r="H89" s="470" t="str">
        <x:v>Future service</x:v>
      </x:c>
      <x:c r="I89" s="470" t="str">
        <x:v>Add future cost element</x:v>
      </x:c>
      <x:c r="J89" s="470" t="str">
        <x:v>TBD</x:v>
      </x:c>
      <x:c r="K89" s="470" t="str">
        <x:v>PROGRAMS</x:v>
      </x:c>
      <x:c r="L89" s="470" t="str">
        <x:v>programs</x:v>
      </x:c>
      <x:c r="M89" s="485"/>
      <x:c r="N89" s="485"/>
      <x:c r="O89" s="485"/>
      <x:c r="P89" s="501" t="n">
        <x:f>IF($S89="No",0,IF('Cost Center'!$F$5="Planning",IF($M89="",0,$M89),IF('Cost Center'!$F$5="Contracted",IF($N89="",0,$N89),IF($O89="",0,$O89))))</x:f>
        <x:v>0</x:v>
      </x:c>
      <x:c r="Q89" s="496" t="n">
        <x:f>IF($S89="No",0,SUMIF('Cost Drivers'!$B$48:$B$105,$K89,'Cost Drivers'!$E$48:$E$105)*$P89)</x:f>
        <x:v>0</x:v>
      </x:c>
      <x:c r="R89" s="496" t="n">
        <x:f>IF($S89="No",0,SUMIF('Cost Drivers'!$B$48:$B$105,$K89,'Cost Drivers'!$F$48:$F$105)*$P89)</x:f>
        <x:v>0</x:v>
      </x:c>
      <x:c r="S89" s="492" t="str">
        <x:v>No</x:v>
      </x:c>
      <x:c r="T89" s="470" t="str">
        <x:f>IF($S89="No","Disabled",IF('Cost Center'!$F$5="Planning",IF($M89="","Missing","Planning"),IF('Cost Center'!$F$5="Contracted",IF($N89="","Missing","Contracted"),IF($O89="","Missing","Actual"))))</x:f>
        <x:v>Disabled</x:v>
      </x:c>
      <x:c r="U89" s="470" t="str"/>
      <x:c r="V89" s="470" t="str">
        <x:v>Pre-built blank row.</x:v>
      </x:c>
    </x:row>
    <x:row r="90" ht="36" customHeight="1">
      <x:c r="A90" s="448"/>
      <x:c r="B90" s="464" t="str">
        <x:v>X06</x:v>
      </x:c>
      <x:c r="C90" s="464" t="str">
        <x:v>Future</x:v>
      </x:c>
      <x:c r="D90" s="464" t="str">
        <x:v>Shared</x:v>
      </x:c>
      <x:c r="E90" s="464" t="str">
        <x:v>Use</x:v>
      </x:c>
      <x:c r="F90" s="464" t="str">
        <x:v>Future cost</x:v>
      </x:c>
      <x:c r="G90" s="464" t="str">
        <x:v>Cross-platform</x:v>
      </x:c>
      <x:c r="H90" s="464" t="str">
        <x:v>Future service</x:v>
      </x:c>
      <x:c r="I90" s="464" t="str">
        <x:v>Add future cost element</x:v>
      </x:c>
      <x:c r="J90" s="464" t="str">
        <x:v>TBD</x:v>
      </x:c>
      <x:c r="K90" s="464" t="str">
        <x:v>PROGRAMS</x:v>
      </x:c>
      <x:c r="L90" s="464" t="str">
        <x:v>programs</x:v>
      </x:c>
      <x:c r="M90" s="485"/>
      <x:c r="N90" s="485"/>
      <x:c r="O90" s="485"/>
      <x:c r="P90" s="499" t="n">
        <x:f>IF($S90="No",0,IF('Cost Center'!$F$5="Planning",IF($M90="",0,$M90),IF('Cost Center'!$F$5="Contracted",IF($N90="",0,$N90),IF($O90="",0,$O90))))</x:f>
        <x:v>0</x:v>
      </x:c>
      <x:c r="Q90" s="490" t="n">
        <x:f>IF($S90="No",0,SUMIF('Cost Drivers'!$B$48:$B$105,$K90,'Cost Drivers'!$E$48:$E$105)*$P90)</x:f>
        <x:v>0</x:v>
      </x:c>
      <x:c r="R90" s="490" t="n">
        <x:f>IF($S90="No",0,SUMIF('Cost Drivers'!$B$48:$B$105,$K90,'Cost Drivers'!$F$48:$F$105)*$P90)</x:f>
        <x:v>0</x:v>
      </x:c>
      <x:c r="S90" s="492" t="str">
        <x:v>No</x:v>
      </x:c>
      <x:c r="T90" s="464" t="str">
        <x:f>IF($S90="No","Disabled",IF('Cost Center'!$F$5="Planning",IF($M90="","Missing","Planning"),IF('Cost Center'!$F$5="Contracted",IF($N90="","Missing","Contracted"),IF($O90="","Missing","Actual"))))</x:f>
        <x:v>Disabled</x:v>
      </x:c>
      <x:c r="U90" s="464" t="str"/>
      <x:c r="V90" s="464" t="str">
        <x:v>Pre-built blank row.</x:v>
      </x:c>
    </x:row>
    <x:row r="91" ht="36" customHeight="1">
      <x:c r="A91" s="448"/>
      <x:c r="B91" s="470" t="str">
        <x:v>X07</x:v>
      </x:c>
      <x:c r="C91" s="470" t="str">
        <x:v>Future</x:v>
      </x:c>
      <x:c r="D91" s="470" t="str">
        <x:v>Shared</x:v>
      </x:c>
      <x:c r="E91" s="470" t="str">
        <x:v>Use</x:v>
      </x:c>
      <x:c r="F91" s="470" t="str">
        <x:v>Future cost</x:v>
      </x:c>
      <x:c r="G91" s="470" t="str">
        <x:v>Cross-platform</x:v>
      </x:c>
      <x:c r="H91" s="470" t="str">
        <x:v>Future service</x:v>
      </x:c>
      <x:c r="I91" s="470" t="str">
        <x:v>Add future cost element</x:v>
      </x:c>
      <x:c r="J91" s="470" t="str">
        <x:v>TBD</x:v>
      </x:c>
      <x:c r="K91" s="470" t="str">
        <x:v>PROGRAMS</x:v>
      </x:c>
      <x:c r="L91" s="470" t="str">
        <x:v>programs</x:v>
      </x:c>
      <x:c r="M91" s="485"/>
      <x:c r="N91" s="485"/>
      <x:c r="O91" s="485"/>
      <x:c r="P91" s="501" t="n">
        <x:f>IF($S91="No",0,IF('Cost Center'!$F$5="Planning",IF($M91="",0,$M91),IF('Cost Center'!$F$5="Contracted",IF($N91="",0,$N91),IF($O91="",0,$O91))))</x:f>
        <x:v>0</x:v>
      </x:c>
      <x:c r="Q91" s="496" t="n">
        <x:f>IF($S91="No",0,SUMIF('Cost Drivers'!$B$48:$B$105,$K91,'Cost Drivers'!$E$48:$E$105)*$P91)</x:f>
        <x:v>0</x:v>
      </x:c>
      <x:c r="R91" s="496" t="n">
        <x:f>IF($S91="No",0,SUMIF('Cost Drivers'!$B$48:$B$105,$K91,'Cost Drivers'!$F$48:$F$105)*$P91)</x:f>
        <x:v>0</x:v>
      </x:c>
      <x:c r="S91" s="492" t="str">
        <x:v>No</x:v>
      </x:c>
      <x:c r="T91" s="470" t="str">
        <x:f>IF($S91="No","Disabled",IF('Cost Center'!$F$5="Planning",IF($M91="","Missing","Planning"),IF('Cost Center'!$F$5="Contracted",IF($N91="","Missing","Contracted"),IF($O91="","Missing","Actual"))))</x:f>
        <x:v>Disabled</x:v>
      </x:c>
      <x:c r="U91" s="470" t="str"/>
      <x:c r="V91" s="470" t="str">
        <x:v>Pre-built blank row.</x:v>
      </x:c>
    </x:row>
    <x:row r="92" ht="36" customHeight="1">
      <x:c r="A92" s="448"/>
      <x:c r="B92" s="464" t="str">
        <x:v>X08</x:v>
      </x:c>
      <x:c r="C92" s="464" t="str">
        <x:v>Future</x:v>
      </x:c>
      <x:c r="D92" s="464" t="str">
        <x:v>Shared</x:v>
      </x:c>
      <x:c r="E92" s="464" t="str">
        <x:v>Use</x:v>
      </x:c>
      <x:c r="F92" s="464" t="str">
        <x:v>Future cost</x:v>
      </x:c>
      <x:c r="G92" s="464" t="str">
        <x:v>Cross-platform</x:v>
      </x:c>
      <x:c r="H92" s="464" t="str">
        <x:v>Future service</x:v>
      </x:c>
      <x:c r="I92" s="464" t="str">
        <x:v>Add future cost element</x:v>
      </x:c>
      <x:c r="J92" s="464" t="str">
        <x:v>TBD</x:v>
      </x:c>
      <x:c r="K92" s="464" t="str">
        <x:v>PROGRAMS</x:v>
      </x:c>
      <x:c r="L92" s="464" t="str">
        <x:v>programs</x:v>
      </x:c>
      <x:c r="M92" s="485"/>
      <x:c r="N92" s="485"/>
      <x:c r="O92" s="485"/>
      <x:c r="P92" s="499" t="n">
        <x:f>IF($S92="No",0,IF('Cost Center'!$F$5="Planning",IF($M92="",0,$M92),IF('Cost Center'!$F$5="Contracted",IF($N92="",0,$N92),IF($O92="",0,$O92))))</x:f>
        <x:v>0</x:v>
      </x:c>
      <x:c r="Q92" s="490" t="n">
        <x:f>IF($S92="No",0,SUMIF('Cost Drivers'!$B$48:$B$105,$K92,'Cost Drivers'!$E$48:$E$105)*$P92)</x:f>
        <x:v>0</x:v>
      </x:c>
      <x:c r="R92" s="490" t="n">
        <x:f>IF($S92="No",0,SUMIF('Cost Drivers'!$B$48:$B$105,$K92,'Cost Drivers'!$F$48:$F$105)*$P92)</x:f>
        <x:v>0</x:v>
      </x:c>
      <x:c r="S92" s="492" t="str">
        <x:v>No</x:v>
      </x:c>
      <x:c r="T92" s="464" t="str">
        <x:f>IF($S92="No","Disabled",IF('Cost Center'!$F$5="Planning",IF($M92="","Missing","Planning"),IF('Cost Center'!$F$5="Contracted",IF($N92="","Missing","Contracted"),IF($O92="","Missing","Actual"))))</x:f>
        <x:v>Disabled</x:v>
      </x:c>
      <x:c r="U92" s="464" t="str"/>
      <x:c r="V92" s="464" t="str">
        <x:v>Pre-built blank row.</x:v>
      </x:c>
    </x:row>
    <x:row r="93" ht="36" customHeight="1">
      <x:c r="A93" s="448"/>
      <x:c r="B93" s="470" t="str">
        <x:v>X09</x:v>
      </x:c>
      <x:c r="C93" s="470" t="str">
        <x:v>Future</x:v>
      </x:c>
      <x:c r="D93" s="470" t="str">
        <x:v>Shared</x:v>
      </x:c>
      <x:c r="E93" s="470" t="str">
        <x:v>Use</x:v>
      </x:c>
      <x:c r="F93" s="470" t="str">
        <x:v>Future cost</x:v>
      </x:c>
      <x:c r="G93" s="470" t="str">
        <x:v>Cross-platform</x:v>
      </x:c>
      <x:c r="H93" s="470" t="str">
        <x:v>Future service</x:v>
      </x:c>
      <x:c r="I93" s="470" t="str">
        <x:v>Add future cost element</x:v>
      </x:c>
      <x:c r="J93" s="470" t="str">
        <x:v>TBD</x:v>
      </x:c>
      <x:c r="K93" s="470" t="str">
        <x:v>PROGRAMS</x:v>
      </x:c>
      <x:c r="L93" s="470" t="str">
        <x:v>programs</x:v>
      </x:c>
      <x:c r="M93" s="485"/>
      <x:c r="N93" s="485"/>
      <x:c r="O93" s="485"/>
      <x:c r="P93" s="501" t="n">
        <x:f>IF($S93="No",0,IF('Cost Center'!$F$5="Planning",IF($M93="",0,$M93),IF('Cost Center'!$F$5="Contracted",IF($N93="",0,$N93),IF($O93="",0,$O93))))</x:f>
        <x:v>0</x:v>
      </x:c>
      <x:c r="Q93" s="496" t="n">
        <x:f>IF($S93="No",0,SUMIF('Cost Drivers'!$B$48:$B$105,$K93,'Cost Drivers'!$E$48:$E$105)*$P93)</x:f>
        <x:v>0</x:v>
      </x:c>
      <x:c r="R93" s="496" t="n">
        <x:f>IF($S93="No",0,SUMIF('Cost Drivers'!$B$48:$B$105,$K93,'Cost Drivers'!$F$48:$F$105)*$P93)</x:f>
        <x:v>0</x:v>
      </x:c>
      <x:c r="S93" s="492" t="str">
        <x:v>No</x:v>
      </x:c>
      <x:c r="T93" s="470" t="str">
        <x:f>IF($S93="No","Disabled",IF('Cost Center'!$F$5="Planning",IF($M93="","Missing","Planning"),IF('Cost Center'!$F$5="Contracted",IF($N93="","Missing","Contracted"),IF($O93="","Missing","Actual"))))</x:f>
        <x:v>Disabled</x:v>
      </x:c>
      <x:c r="U93" s="470" t="str"/>
      <x:c r="V93" s="470" t="str">
        <x:v>Pre-built blank row.</x:v>
      </x:c>
    </x:row>
    <x:row r="94" ht="36" customHeight="1">
      <x:c r="A94" s="448"/>
      <x:c r="B94" s="464" t="str">
        <x:v>X10</x:v>
      </x:c>
      <x:c r="C94" s="464" t="str">
        <x:v>Future</x:v>
      </x:c>
      <x:c r="D94" s="464" t="str">
        <x:v>Shared</x:v>
      </x:c>
      <x:c r="E94" s="464" t="str">
        <x:v>Use</x:v>
      </x:c>
      <x:c r="F94" s="464" t="str">
        <x:v>Future cost</x:v>
      </x:c>
      <x:c r="G94" s="464" t="str">
        <x:v>Cross-platform</x:v>
      </x:c>
      <x:c r="H94" s="464" t="str">
        <x:v>Future service</x:v>
      </x:c>
      <x:c r="I94" s="464" t="str">
        <x:v>Add future cost element</x:v>
      </x:c>
      <x:c r="J94" s="464" t="str">
        <x:v>TBD</x:v>
      </x:c>
      <x:c r="K94" s="464" t="str">
        <x:v>PROGRAMS</x:v>
      </x:c>
      <x:c r="L94" s="464" t="str">
        <x:v>programs</x:v>
      </x:c>
      <x:c r="M94" s="485"/>
      <x:c r="N94" s="485"/>
      <x:c r="O94" s="485"/>
      <x:c r="P94" s="499" t="n">
        <x:f>IF($S94="No",0,IF('Cost Center'!$F$5="Planning",IF($M94="",0,$M94),IF('Cost Center'!$F$5="Contracted",IF($N94="",0,$N94),IF($O94="",0,$O94))))</x:f>
        <x:v>0</x:v>
      </x:c>
      <x:c r="Q94" s="490" t="n">
        <x:f>IF($S94="No",0,SUMIF('Cost Drivers'!$B$48:$B$105,$K94,'Cost Drivers'!$E$48:$E$105)*$P94)</x:f>
        <x:v>0</x:v>
      </x:c>
      <x:c r="R94" s="490" t="n">
        <x:f>IF($S94="No",0,SUMIF('Cost Drivers'!$B$48:$B$105,$K94,'Cost Drivers'!$F$48:$F$105)*$P94)</x:f>
        <x:v>0</x:v>
      </x:c>
      <x:c r="S94" s="492" t="str">
        <x:v>No</x:v>
      </x:c>
      <x:c r="T94" s="464" t="str">
        <x:f>IF($S94="No","Disabled",IF('Cost Center'!$F$5="Planning",IF($M94="","Missing","Planning"),IF('Cost Center'!$F$5="Contracted",IF($N94="","Missing","Contracted"),IF($O94="","Missing","Actual"))))</x:f>
        <x:v>Disabled</x:v>
      </x:c>
      <x:c r="U94" s="464" t="str"/>
      <x:c r="V94" s="464" t="str">
        <x:v>Pre-built blank row.</x:v>
      </x:c>
    </x:row>
    <x:row r="95">
      <x:c r="A95" s="448"/>
      <x:c r="B95" s="448"/>
      <x:c r="C95" s="448"/>
      <x:c r="D95" s="448"/>
      <x:c r="E95" s="448"/>
      <x:c r="F95" s="448"/>
      <x:c r="G95" s="448"/>
      <x:c r="H95" s="448"/>
      <x:c r="I95" s="448"/>
      <x:c r="J95" s="448"/>
      <x:c r="K95" s="448"/>
      <x:c r="L95" s="448"/>
      <x:c r="M95" s="448"/>
      <x:c r="N95" s="448"/>
      <x:c r="O95" s="448"/>
      <x:c r="P95" s="448"/>
      <x:c r="Q95" s="448"/>
      <x:c r="R95" s="448"/>
      <x:c r="S95" s="448"/>
      <x:c r="T95" s="448"/>
      <x:c r="U95" s="448"/>
      <x:c r="V95" s="448"/>
    </x:row>
    <x:row r="96" ht="31" customHeight="1">
      <x:c r="A96" s="448"/>
      <x:c r="B96" s="503" t="str">
        <x:v>Do not enable two rows that price the same bundled service. Planning benchmarks from different providers are examples, not one contracted vendor stack.</x:v>
      </x:c>
      <x:c r="C96" s="503"/>
      <x:c r="D96" s="503"/>
      <x:c r="E96" s="503"/>
      <x:c r="F96" s="503"/>
      <x:c r="G96" s="503"/>
      <x:c r="H96" s="503"/>
      <x:c r="I96" s="503"/>
      <x:c r="J96" s="503"/>
      <x:c r="K96" s="503"/>
      <x:c r="L96" s="503"/>
      <x:c r="M96" s="503"/>
      <x:c r="N96" s="503"/>
      <x:c r="O96" s="503"/>
      <x:c r="P96" s="503"/>
      <x:c r="Q96" s="503"/>
      <x:c r="R96" s="503"/>
      <x:c r="S96" s="503"/>
      <x:c r="T96" s="503"/>
      <x:c r="U96" s="503"/>
      <x:c r="V96" s="503"/>
    </x:row>
    <x:row r="97">
      <x:c r="A97" s="448"/>
      <x:c r="B97" s="448"/>
      <x:c r="C97" s="448"/>
      <x:c r="D97" s="448"/>
      <x:c r="E97" s="448"/>
      <x:c r="F97" s="448"/>
      <x:c r="G97" s="448"/>
      <x:c r="H97" s="448"/>
      <x:c r="I97" s="448"/>
      <x:c r="J97" s="448"/>
      <x:c r="K97" s="448"/>
      <x:c r="L97" s="448"/>
      <x:c r="M97" s="448"/>
      <x:c r="N97" s="448"/>
      <x:c r="O97" s="448"/>
      <x:c r="P97" s="448"/>
      <x:c r="Q97" s="448"/>
      <x:c r="R97" s="448"/>
      <x:c r="S97" s="448"/>
      <x:c r="T97" s="448"/>
      <x:c r="U97" s="448"/>
      <x:c r="V97" s="448"/>
    </x:row>
    <x:row r="98">
      <x:c r="A98" s="448"/>
      <x:c r="B98" s="448"/>
      <x:c r="C98" s="448"/>
      <x:c r="D98" s="448"/>
      <x:c r="E98" s="448"/>
      <x:c r="F98" s="448"/>
      <x:c r="G98" s="448"/>
      <x:c r="H98" s="448"/>
      <x:c r="I98" s="448"/>
      <x:c r="J98" s="448"/>
      <x:c r="K98" s="448"/>
      <x:c r="L98" s="448"/>
      <x:c r="M98" s="448"/>
      <x:c r="N98" s="448"/>
      <x:c r="O98" s="448"/>
      <x:c r="P98" s="448"/>
      <x:c r="Q98" s="448"/>
      <x:c r="R98" s="448"/>
      <x:c r="S98" s="448"/>
      <x:c r="T98" s="448"/>
      <x:c r="U98" s="448"/>
      <x:c r="V98" s="448"/>
    </x:row>
    <x:row r="99">
      <x:c r="A99" s="448"/>
      <x:c r="B99" s="448"/>
      <x:c r="C99" s="448"/>
      <x:c r="D99" s="448"/>
      <x:c r="E99" s="448"/>
      <x:c r="F99" s="448"/>
      <x:c r="G99" s="448"/>
      <x:c r="H99" s="448"/>
      <x:c r="I99" s="448"/>
      <x:c r="J99" s="448"/>
      <x:c r="K99" s="448"/>
      <x:c r="L99" s="448"/>
      <x:c r="M99" s="448"/>
      <x:c r="N99" s="448"/>
      <x:c r="O99" s="448"/>
      <x:c r="P99" s="448"/>
      <x:c r="Q99" s="448"/>
      <x:c r="R99" s="448"/>
      <x:c r="S99" s="448"/>
      <x:c r="T99" s="448"/>
      <x:c r="U99" s="448"/>
      <x:c r="V99" s="448"/>
    </x:row>
    <x:row r="100">
      <x:c r="A100" s="448"/>
      <x:c r="B100" s="448"/>
      <x:c r="C100" s="448"/>
      <x:c r="D100" s="448"/>
      <x:c r="E100" s="448"/>
      <x:c r="F100" s="448"/>
      <x:c r="G100" s="448"/>
      <x:c r="H100" s="448"/>
      <x:c r="I100" s="448"/>
      <x:c r="J100" s="448"/>
      <x:c r="K100" s="448"/>
      <x:c r="L100" s="448"/>
      <x:c r="M100" s="448"/>
      <x:c r="N100" s="448"/>
      <x:c r="O100" s="448"/>
      <x:c r="P100" s="448"/>
      <x:c r="Q100" s="448"/>
      <x:c r="R100" s="448"/>
      <x:c r="S100" s="448"/>
      <x:c r="T100" s="448"/>
      <x:c r="U100" s="448"/>
      <x:c r="V100" s="448"/>
    </x:row>
    <x:row r="101">
      <x:c r="A101" s="448"/>
      <x:c r="B101" s="448"/>
      <x:c r="C101" s="448"/>
      <x:c r="D101" s="448"/>
      <x:c r="E101" s="448"/>
      <x:c r="F101" s="448"/>
      <x:c r="G101" s="448"/>
      <x:c r="H101" s="448"/>
      <x:c r="I101" s="448"/>
      <x:c r="J101" s="448"/>
      <x:c r="K101" s="448"/>
      <x:c r="L101" s="448"/>
      <x:c r="M101" s="448"/>
      <x:c r="N101" s="448"/>
      <x:c r="O101" s="448"/>
      <x:c r="P101" s="448"/>
      <x:c r="Q101" s="448"/>
      <x:c r="R101" s="448"/>
      <x:c r="S101" s="448"/>
      <x:c r="T101" s="448"/>
      <x:c r="U101" s="448"/>
      <x:c r="V101" s="448"/>
    </x:row>
    <x:row r="102">
      <x:c r="A102" s="448"/>
      <x:c r="B102" s="448"/>
      <x:c r="C102" s="448"/>
      <x:c r="D102" s="448"/>
      <x:c r="E102" s="448"/>
      <x:c r="F102" s="448"/>
      <x:c r="G102" s="448"/>
      <x:c r="H102" s="448"/>
      <x:c r="I102" s="448"/>
      <x:c r="J102" s="448"/>
      <x:c r="K102" s="448"/>
      <x:c r="L102" s="448"/>
      <x:c r="M102" s="448"/>
      <x:c r="N102" s="448"/>
      <x:c r="O102" s="448"/>
      <x:c r="P102" s="448"/>
      <x:c r="Q102" s="448"/>
      <x:c r="R102" s="448"/>
      <x:c r="S102" s="448"/>
      <x:c r="T102" s="448"/>
      <x:c r="U102" s="448"/>
      <x:c r="V102" s="448"/>
    </x:row>
    <x:row r="103">
      <x:c r="A103" s="448"/>
      <x:c r="B103" s="448"/>
      <x:c r="C103" s="448"/>
      <x:c r="D103" s="448"/>
      <x:c r="E103" s="448"/>
      <x:c r="F103" s="448"/>
      <x:c r="G103" s="448"/>
      <x:c r="H103" s="448"/>
      <x:c r="I103" s="448"/>
      <x:c r="J103" s="448"/>
      <x:c r="K103" s="448"/>
      <x:c r="L103" s="448"/>
      <x:c r="M103" s="448"/>
      <x:c r="N103" s="448"/>
      <x:c r="O103" s="448"/>
      <x:c r="P103" s="448"/>
      <x:c r="Q103" s="448"/>
      <x:c r="R103" s="448"/>
      <x:c r="S103" s="448"/>
      <x:c r="T103" s="448"/>
      <x:c r="U103" s="448"/>
      <x:c r="V103" s="448"/>
    </x:row>
    <x:row r="104">
      <x:c r="A104" s="448"/>
      <x:c r="B104" s="448"/>
      <x:c r="C104" s="448"/>
      <x:c r="D104" s="448"/>
      <x:c r="E104" s="448"/>
      <x:c r="F104" s="448"/>
      <x:c r="G104" s="448"/>
      <x:c r="H104" s="448"/>
      <x:c r="I104" s="448"/>
      <x:c r="J104" s="448"/>
      <x:c r="K104" s="448"/>
      <x:c r="L104" s="448"/>
      <x:c r="M104" s="448"/>
      <x:c r="N104" s="448"/>
      <x:c r="O104" s="448"/>
      <x:c r="P104" s="448"/>
      <x:c r="Q104" s="448"/>
      <x:c r="R104" s="448"/>
      <x:c r="S104" s="448"/>
      <x:c r="T104" s="448"/>
      <x:c r="U104" s="448"/>
      <x:c r="V104" s="448"/>
    </x:row>
    <x:row r="105">
      <x:c r="A105" s="448"/>
      <x:c r="B105" s="448"/>
      <x:c r="C105" s="448"/>
      <x:c r="D105" s="448"/>
      <x:c r="E105" s="448"/>
      <x:c r="F105" s="448"/>
      <x:c r="G105" s="448"/>
      <x:c r="H105" s="448"/>
      <x:c r="I105" s="448"/>
      <x:c r="J105" s="448"/>
      <x:c r="K105" s="448"/>
      <x:c r="L105" s="448"/>
      <x:c r="M105" s="448"/>
      <x:c r="N105" s="448"/>
      <x:c r="O105" s="448"/>
      <x:c r="P105" s="448"/>
      <x:c r="Q105" s="448"/>
      <x:c r="R105" s="448"/>
      <x:c r="S105" s="448"/>
      <x:c r="T105" s="448"/>
      <x:c r="U105" s="448"/>
      <x:c r="V105" s="448"/>
    </x:row>
    <x:row r="106">
      <x:c r="A106" s="448"/>
      <x:c r="B106" s="448"/>
      <x:c r="C106" s="448"/>
      <x:c r="D106" s="448"/>
      <x:c r="E106" s="448"/>
      <x:c r="F106" s="448"/>
      <x:c r="G106" s="448"/>
      <x:c r="H106" s="448"/>
      <x:c r="I106" s="448"/>
      <x:c r="J106" s="448"/>
      <x:c r="K106" s="448"/>
      <x:c r="L106" s="448"/>
      <x:c r="M106" s="448"/>
      <x:c r="N106" s="448"/>
      <x:c r="O106" s="448"/>
      <x:c r="P106" s="448"/>
      <x:c r="Q106" s="448"/>
      <x:c r="R106" s="448"/>
      <x:c r="S106" s="448"/>
      <x:c r="T106" s="448"/>
      <x:c r="U106" s="448"/>
      <x:c r="V106" s="448"/>
    </x:row>
    <x:row r="107">
      <x:c r="A107" s="448"/>
      <x:c r="B107" s="448"/>
      <x:c r="C107" s="448"/>
      <x:c r="D107" s="448"/>
      <x:c r="E107" s="448"/>
      <x:c r="F107" s="448"/>
      <x:c r="G107" s="448"/>
      <x:c r="H107" s="448"/>
      <x:c r="I107" s="448"/>
      <x:c r="J107" s="448"/>
      <x:c r="K107" s="448"/>
      <x:c r="L107" s="448"/>
      <x:c r="M107" s="448"/>
      <x:c r="N107" s="448"/>
      <x:c r="O107" s="448"/>
      <x:c r="P107" s="448"/>
      <x:c r="Q107" s="448"/>
      <x:c r="R107" s="448"/>
      <x:c r="S107" s="448"/>
      <x:c r="T107" s="448"/>
      <x:c r="U107" s="448"/>
      <x:c r="V107" s="448"/>
    </x:row>
    <x:row r="108">
      <x:c r="A108" s="448"/>
      <x:c r="B108" s="448"/>
      <x:c r="C108" s="448"/>
      <x:c r="D108" s="448"/>
      <x:c r="E108" s="448"/>
      <x:c r="F108" s="448"/>
      <x:c r="G108" s="448"/>
      <x:c r="H108" s="448"/>
      <x:c r="I108" s="448"/>
      <x:c r="J108" s="448"/>
      <x:c r="K108" s="448"/>
      <x:c r="L108" s="448"/>
      <x:c r="M108" s="448"/>
      <x:c r="N108" s="448"/>
      <x:c r="O108" s="448"/>
      <x:c r="P108" s="448"/>
      <x:c r="Q108" s="448"/>
      <x:c r="R108" s="448"/>
      <x:c r="S108" s="448"/>
      <x:c r="T108" s="448"/>
      <x:c r="U108" s="448"/>
      <x:c r="V108" s="448"/>
    </x:row>
    <x:row r="109">
      <x:c r="A109" s="448"/>
      <x:c r="B109" s="448"/>
      <x:c r="C109" s="448"/>
      <x:c r="D109" s="448"/>
      <x:c r="E109" s="448"/>
      <x:c r="F109" s="448"/>
      <x:c r="G109" s="448"/>
      <x:c r="H109" s="448"/>
      <x:c r="I109" s="448"/>
      <x:c r="J109" s="448"/>
      <x:c r="K109" s="448"/>
      <x:c r="L109" s="448"/>
      <x:c r="M109" s="448"/>
      <x:c r="N109" s="448"/>
      <x:c r="O109" s="448"/>
      <x:c r="P109" s="448"/>
      <x:c r="Q109" s="448"/>
      <x:c r="R109" s="448"/>
      <x:c r="S109" s="448"/>
      <x:c r="T109" s="448"/>
      <x:c r="U109" s="448"/>
      <x:c r="V109" s="448"/>
    </x:row>
    <x:row r="110">
      <x:c r="A110" s="448"/>
      <x:c r="B110" s="448"/>
      <x:c r="C110" s="448"/>
      <x:c r="D110" s="448"/>
      <x:c r="E110" s="448"/>
      <x:c r="F110" s="448"/>
      <x:c r="G110" s="448"/>
      <x:c r="H110" s="448"/>
      <x:c r="I110" s="448"/>
      <x:c r="J110" s="448"/>
      <x:c r="K110" s="448"/>
      <x:c r="L110" s="448"/>
      <x:c r="M110" s="448"/>
      <x:c r="N110" s="448"/>
      <x:c r="O110" s="448"/>
      <x:c r="P110" s="448"/>
      <x:c r="Q110" s="448"/>
      <x:c r="R110" s="448"/>
      <x:c r="S110" s="448"/>
      <x:c r="T110" s="448"/>
      <x:c r="U110" s="448"/>
      <x:c r="V110" s="448"/>
    </x:row>
    <x:row r="111">
      <x:c r="A111" s="448"/>
      <x:c r="B111" s="448"/>
      <x:c r="C111" s="448"/>
      <x:c r="D111" s="448"/>
      <x:c r="E111" s="448"/>
      <x:c r="F111" s="448"/>
      <x:c r="G111" s="448"/>
      <x:c r="H111" s="448"/>
      <x:c r="I111" s="448"/>
      <x:c r="J111" s="448"/>
      <x:c r="K111" s="448"/>
      <x:c r="L111" s="448"/>
      <x:c r="M111" s="448"/>
      <x:c r="N111" s="448"/>
      <x:c r="O111" s="448"/>
      <x:c r="P111" s="448"/>
      <x:c r="Q111" s="448"/>
      <x:c r="R111" s="448"/>
      <x:c r="S111" s="448"/>
      <x:c r="T111" s="448"/>
      <x:c r="U111" s="448"/>
      <x:c r="V111" s="448"/>
    </x:row>
    <x:row r="112">
      <x:c r="A112" s="448"/>
      <x:c r="B112" s="448"/>
      <x:c r="C112" s="448"/>
      <x:c r="D112" s="448"/>
      <x:c r="E112" s="448"/>
      <x:c r="F112" s="448"/>
      <x:c r="G112" s="448"/>
      <x:c r="H112" s="448"/>
      <x:c r="I112" s="448"/>
      <x:c r="J112" s="448"/>
      <x:c r="K112" s="448"/>
      <x:c r="L112" s="448"/>
      <x:c r="M112" s="448"/>
      <x:c r="N112" s="448"/>
      <x:c r="O112" s="448"/>
      <x:c r="P112" s="448"/>
      <x:c r="Q112" s="448"/>
      <x:c r="R112" s="448"/>
      <x:c r="S112" s="448"/>
      <x:c r="T112" s="448"/>
      <x:c r="U112" s="448"/>
      <x:c r="V112" s="448"/>
    </x:row>
    <x:row r="113">
      <x:c r="A113" s="448"/>
      <x:c r="B113" s="448"/>
      <x:c r="C113" s="448"/>
      <x:c r="D113" s="448"/>
      <x:c r="E113" s="448"/>
      <x:c r="F113" s="448"/>
      <x:c r="G113" s="448"/>
      <x:c r="H113" s="448"/>
      <x:c r="I113" s="448"/>
      <x:c r="J113" s="448"/>
      <x:c r="K113" s="448"/>
      <x:c r="L113" s="448"/>
      <x:c r="M113" s="448"/>
      <x:c r="N113" s="448"/>
      <x:c r="O113" s="448"/>
      <x:c r="P113" s="448"/>
      <x:c r="Q113" s="448"/>
      <x:c r="R113" s="448"/>
      <x:c r="S113" s="448"/>
      <x:c r="T113" s="448"/>
      <x:c r="U113" s="448"/>
      <x:c r="V113" s="448"/>
    </x:row>
    <x:row r="114">
      <x:c r="A114" s="448"/>
      <x:c r="B114" s="448"/>
      <x:c r="C114" s="448"/>
      <x:c r="D114" s="448"/>
      <x:c r="E114" s="448"/>
      <x:c r="F114" s="448"/>
      <x:c r="G114" s="448"/>
      <x:c r="H114" s="448"/>
      <x:c r="I114" s="448"/>
      <x:c r="J114" s="448"/>
      <x:c r="K114" s="448"/>
      <x:c r="L114" s="448"/>
      <x:c r="M114" s="448"/>
      <x:c r="N114" s="448"/>
      <x:c r="O114" s="448"/>
      <x:c r="P114" s="448"/>
      <x:c r="Q114" s="448"/>
      <x:c r="R114" s="448"/>
      <x:c r="S114" s="448"/>
      <x:c r="T114" s="448"/>
      <x:c r="U114" s="448"/>
      <x:c r="V114" s="448"/>
    </x:row>
    <x:row r="115">
      <x:c r="A115" s="448"/>
      <x:c r="B115" s="448"/>
      <x:c r="C115" s="448"/>
      <x:c r="D115" s="448"/>
      <x:c r="E115" s="448"/>
      <x:c r="F115" s="448"/>
      <x:c r="G115" s="448"/>
      <x:c r="H115" s="448"/>
      <x:c r="I115" s="448"/>
      <x:c r="J115" s="448"/>
      <x:c r="K115" s="448"/>
      <x:c r="L115" s="448"/>
      <x:c r="M115" s="448"/>
      <x:c r="N115" s="448"/>
      <x:c r="O115" s="448"/>
      <x:c r="P115" s="448"/>
      <x:c r="Q115" s="448"/>
      <x:c r="R115" s="448"/>
      <x:c r="S115" s="448"/>
      <x:c r="T115" s="448"/>
      <x:c r="U115" s="448"/>
      <x:c r="V115" s="448"/>
    </x:row>
    <x:row r="116">
      <x:c r="A116" s="448"/>
      <x:c r="B116" s="448"/>
      <x:c r="C116" s="448"/>
      <x:c r="D116" s="448"/>
      <x:c r="E116" s="448"/>
      <x:c r="F116" s="448"/>
      <x:c r="G116" s="448"/>
      <x:c r="H116" s="448"/>
      <x:c r="I116" s="448"/>
      <x:c r="J116" s="448"/>
      <x:c r="K116" s="448"/>
      <x:c r="L116" s="448"/>
      <x:c r="M116" s="448"/>
      <x:c r="N116" s="448"/>
      <x:c r="O116" s="448"/>
      <x:c r="P116" s="448"/>
      <x:c r="Q116" s="448"/>
      <x:c r="R116" s="448"/>
      <x:c r="S116" s="448"/>
      <x:c r="T116" s="448"/>
      <x:c r="U116" s="448"/>
      <x:c r="V116" s="448"/>
    </x:row>
    <x:row r="117">
      <x:c r="A117" s="448"/>
      <x:c r="B117" s="448"/>
      <x:c r="C117" s="448"/>
      <x:c r="D117" s="448"/>
      <x:c r="E117" s="448"/>
      <x:c r="F117" s="448"/>
      <x:c r="G117" s="448"/>
      <x:c r="H117" s="448"/>
      <x:c r="I117" s="448"/>
      <x:c r="J117" s="448"/>
      <x:c r="K117" s="448"/>
      <x:c r="L117" s="448"/>
      <x:c r="M117" s="448"/>
      <x:c r="N117" s="448"/>
      <x:c r="O117" s="448"/>
      <x:c r="P117" s="448"/>
      <x:c r="Q117" s="448"/>
      <x:c r="R117" s="448"/>
      <x:c r="S117" s="448"/>
      <x:c r="T117" s="448"/>
      <x:c r="U117" s="448"/>
      <x:c r="V117" s="448"/>
    </x:row>
    <x:row r="118">
      <x:c r="A118" s="448"/>
      <x:c r="B118" s="448"/>
      <x:c r="C118" s="448"/>
      <x:c r="D118" s="448"/>
      <x:c r="E118" s="448"/>
      <x:c r="F118" s="448"/>
      <x:c r="G118" s="448"/>
      <x:c r="H118" s="448"/>
      <x:c r="I118" s="448"/>
      <x:c r="J118" s="448"/>
      <x:c r="K118" s="448"/>
      <x:c r="L118" s="448"/>
      <x:c r="M118" s="448"/>
      <x:c r="N118" s="448"/>
      <x:c r="O118" s="448"/>
      <x:c r="P118" s="448"/>
      <x:c r="Q118" s="448"/>
      <x:c r="R118" s="448"/>
      <x:c r="S118" s="448"/>
      <x:c r="T118" s="448"/>
      <x:c r="U118" s="448"/>
      <x:c r="V118" s="448"/>
    </x:row>
    <x:row r="119">
      <x:c r="A119" s="448"/>
      <x:c r="B119" s="448"/>
      <x:c r="C119" s="448"/>
      <x:c r="D119" s="448"/>
      <x:c r="E119" s="448"/>
      <x:c r="F119" s="448"/>
      <x:c r="G119" s="448"/>
      <x:c r="H119" s="448"/>
      <x:c r="I119" s="448"/>
      <x:c r="J119" s="448"/>
      <x:c r="K119" s="448"/>
      <x:c r="L119" s="448"/>
      <x:c r="M119" s="448"/>
      <x:c r="N119" s="448"/>
      <x:c r="O119" s="448"/>
      <x:c r="P119" s="448"/>
      <x:c r="Q119" s="448"/>
      <x:c r="R119" s="448"/>
      <x:c r="S119" s="448"/>
      <x:c r="T119" s="448"/>
      <x:c r="U119" s="448"/>
      <x:c r="V119" s="448"/>
    </x:row>
    <x:row r="120">
      <x:c r="A120" s="448"/>
      <x:c r="B120" s="448"/>
      <x:c r="C120" s="448"/>
      <x:c r="D120" s="448"/>
      <x:c r="E120" s="448"/>
      <x:c r="F120" s="448"/>
      <x:c r="G120" s="448"/>
      <x:c r="H120" s="448"/>
      <x:c r="I120" s="448"/>
      <x:c r="J120" s="448"/>
      <x:c r="K120" s="448"/>
      <x:c r="L120" s="448"/>
      <x:c r="M120" s="448"/>
      <x:c r="N120" s="448"/>
      <x:c r="O120" s="448"/>
      <x:c r="P120" s="448"/>
      <x:c r="Q120" s="448"/>
      <x:c r="R120" s="448"/>
      <x:c r="S120" s="448"/>
      <x:c r="T120" s="448"/>
      <x:c r="U120" s="448"/>
      <x:c r="V120" s="448"/>
    </x:row>
  </x:sheetData>
  <x:mergeCells>
    <x:mergeCell ref="B2:V2"/>
    <x:mergeCell ref="B3:V3"/>
    <x:mergeCell ref="B5:V5"/>
    <x:mergeCell ref="B96:V96"/>
  </x:mergeCells>
  <x:conditionalFormatting sqref="T8:T94">
    <x:cfRule type="expression" dxfId="0" priority="1">
      <x:formula>T8="Missing"</x:formula>
    </x:cfRule>
    <x:cfRule type="expression" dxfId="1" priority="2">
      <x:formula>T8="Planning"</x:formula>
    </x:cfRule>
    <x:cfRule type="expression" dxfId="2" priority="3">
      <x:formula>OR(T8="Contracted",T8="Actual")</x:formula>
    </x:cfRule>
  </x:conditionalFormatting>
  <x:dataValidations count="435">
    <x:dataValidation type="list" sqref="S8">
      <x:formula1>"Yes,No"</x:formula1>
    </x:dataValidation>
    <x:dataValidation type="list" sqref="S9">
      <x:formula1>"Yes,No"</x:formula1>
    </x:dataValidation>
    <x:dataValidation type="list" sqref="S10">
      <x:formula1>"Yes,No"</x:formula1>
    </x:dataValidation>
    <x:dataValidation type="list" sqref="S11">
      <x:formula1>"Yes,No"</x:formula1>
    </x:dataValidation>
    <x:dataValidation type="list" sqref="S12">
      <x:formula1>"Yes,No"</x:formula1>
    </x:dataValidation>
    <x:dataValidation type="list" sqref="S13">
      <x:formula1>"Yes,No"</x:formula1>
    </x:dataValidation>
    <x:dataValidation type="list" sqref="S14">
      <x:formula1>"Yes,No"</x:formula1>
    </x:dataValidation>
    <x:dataValidation type="list" sqref="S15">
      <x:formula1>"Yes,No"</x:formula1>
    </x:dataValidation>
    <x:dataValidation type="list" sqref="S16">
      <x:formula1>"Yes,No"</x:formula1>
    </x:dataValidation>
    <x:dataValidation type="list" sqref="S17">
      <x:formula1>"Yes,No"</x:formula1>
    </x:dataValidation>
    <x:dataValidation type="list" sqref="S18">
      <x:formula1>"Yes,No"</x:formula1>
    </x:dataValidation>
    <x:dataValidation type="list" sqref="S19">
      <x:formula1>"Yes,No"</x:formula1>
    </x:dataValidation>
    <x:dataValidation type="list" sqref="S20">
      <x:formula1>"Yes,No"</x:formula1>
    </x:dataValidation>
    <x:dataValidation type="list" sqref="S21">
      <x:formula1>"Yes,No"</x:formula1>
    </x:dataValidation>
    <x:dataValidation type="list" sqref="S22">
      <x:formula1>"Yes,No"</x:formula1>
    </x:dataValidation>
    <x:dataValidation type="list" sqref="S23">
      <x:formula1>"Yes,No"</x:formula1>
    </x:dataValidation>
    <x:dataValidation type="list" sqref="S24">
      <x:formula1>"Yes,No"</x:formula1>
    </x:dataValidation>
    <x:dataValidation type="list" sqref="S25">
      <x:formula1>"Yes,No"</x:formula1>
    </x:dataValidation>
    <x:dataValidation type="list" sqref="S26">
      <x:formula1>"Yes,No"</x:formula1>
    </x:dataValidation>
    <x:dataValidation type="list" sqref="S27">
      <x:formula1>"Yes,No"</x:formula1>
    </x:dataValidation>
    <x:dataValidation type="list" sqref="S28">
      <x:formula1>"Yes,No"</x:formula1>
    </x:dataValidation>
    <x:dataValidation type="list" sqref="S29">
      <x:formula1>"Yes,No"</x:formula1>
    </x:dataValidation>
    <x:dataValidation type="list" sqref="S30">
      <x:formula1>"Yes,No"</x:formula1>
    </x:dataValidation>
    <x:dataValidation type="list" sqref="S31">
      <x:formula1>"Yes,No"</x:formula1>
    </x:dataValidation>
    <x:dataValidation type="list" sqref="S32">
      <x:formula1>"Yes,No"</x:formula1>
    </x:dataValidation>
    <x:dataValidation type="list" sqref="S33">
      <x:formula1>"Yes,No"</x:formula1>
    </x:dataValidation>
    <x:dataValidation type="list" sqref="S34">
      <x:formula1>"Yes,No"</x:formula1>
    </x:dataValidation>
    <x:dataValidation type="list" sqref="S35">
      <x:formula1>"Yes,No"</x:formula1>
    </x:dataValidation>
    <x:dataValidation type="list" sqref="S36">
      <x:formula1>"Yes,No"</x:formula1>
    </x:dataValidation>
    <x:dataValidation type="list" sqref="S37">
      <x:formula1>"Yes,No"</x:formula1>
    </x:dataValidation>
    <x:dataValidation type="list" sqref="S38">
      <x:formula1>"Yes,No"</x:formula1>
    </x:dataValidation>
    <x:dataValidation type="list" sqref="S39">
      <x:formula1>"Yes,No"</x:formula1>
    </x:dataValidation>
    <x:dataValidation type="list" sqref="S40">
      <x:formula1>"Yes,No"</x:formula1>
    </x:dataValidation>
    <x:dataValidation type="list" sqref="S41">
      <x:formula1>"Yes,No"</x:formula1>
    </x:dataValidation>
    <x:dataValidation type="list" sqref="S42">
      <x:formula1>"Yes,No"</x:formula1>
    </x:dataValidation>
    <x:dataValidation type="list" sqref="S43">
      <x:formula1>"Yes,No"</x:formula1>
    </x:dataValidation>
    <x:dataValidation type="list" sqref="S44">
      <x:formula1>"Yes,No"</x:formula1>
    </x:dataValidation>
    <x:dataValidation type="list" sqref="S45">
      <x:formula1>"Yes,No"</x:formula1>
    </x:dataValidation>
    <x:dataValidation type="list" sqref="S46">
      <x:formula1>"Yes,No"</x:formula1>
    </x:dataValidation>
    <x:dataValidation type="list" sqref="S47">
      <x:formula1>"Yes,No"</x:formula1>
    </x:dataValidation>
    <x:dataValidation type="list" sqref="S48">
      <x:formula1>"Yes,No"</x:formula1>
    </x:dataValidation>
    <x:dataValidation type="list" sqref="S49">
      <x:formula1>"Yes,No"</x:formula1>
    </x:dataValidation>
    <x:dataValidation type="list" sqref="S50">
      <x:formula1>"Yes,No"</x:formula1>
    </x:dataValidation>
    <x:dataValidation type="list" sqref="S51">
      <x:formula1>"Yes,No"</x:formula1>
    </x:dataValidation>
    <x:dataValidation type="list" sqref="S52">
      <x:formula1>"Yes,No"</x:formula1>
    </x:dataValidation>
    <x:dataValidation type="list" sqref="S53">
      <x:formula1>"Yes,No"</x:formula1>
    </x:dataValidation>
    <x:dataValidation type="list" sqref="S54">
      <x:formula1>"Yes,No"</x:formula1>
    </x:dataValidation>
    <x:dataValidation type="list" sqref="S55">
      <x:formula1>"Yes,No"</x:formula1>
    </x:dataValidation>
    <x:dataValidation type="list" sqref="S56">
      <x:formula1>"Yes,No"</x:formula1>
    </x:dataValidation>
    <x:dataValidation type="list" sqref="S57">
      <x:formula1>"Yes,No"</x:formula1>
    </x:dataValidation>
    <x:dataValidation type="list" sqref="S58">
      <x:formula1>"Yes,No"</x:formula1>
    </x:dataValidation>
    <x:dataValidation type="list" sqref="S59">
      <x:formula1>"Yes,No"</x:formula1>
    </x:dataValidation>
    <x:dataValidation type="list" sqref="S60">
      <x:formula1>"Yes,No"</x:formula1>
    </x:dataValidation>
    <x:dataValidation type="list" sqref="S61">
      <x:formula1>"Yes,No"</x:formula1>
    </x:dataValidation>
    <x:dataValidation type="list" sqref="S62">
      <x:formula1>"Yes,No"</x:formula1>
    </x:dataValidation>
    <x:dataValidation type="list" sqref="S63">
      <x:formula1>"Yes,No"</x:formula1>
    </x:dataValidation>
    <x:dataValidation type="list" sqref="S64">
      <x:formula1>"Yes,No"</x:formula1>
    </x:dataValidation>
    <x:dataValidation type="list" sqref="S65">
      <x:formula1>"Yes,No"</x:formula1>
    </x:dataValidation>
    <x:dataValidation type="list" sqref="S66">
      <x:formula1>"Yes,No"</x:formula1>
    </x:dataValidation>
    <x:dataValidation type="list" sqref="S67">
      <x:formula1>"Yes,No"</x:formula1>
    </x:dataValidation>
    <x:dataValidation type="list" sqref="S68">
      <x:formula1>"Yes,No"</x:formula1>
    </x:dataValidation>
    <x:dataValidation type="list" sqref="S69">
      <x:formula1>"Yes,No"</x:formula1>
    </x:dataValidation>
    <x:dataValidation type="list" sqref="S70">
      <x:formula1>"Yes,No"</x:formula1>
    </x:dataValidation>
    <x:dataValidation type="list" sqref="S71">
      <x:formula1>"Yes,No"</x:formula1>
    </x:dataValidation>
    <x:dataValidation type="list" sqref="S72">
      <x:formula1>"Yes,No"</x:formula1>
    </x:dataValidation>
    <x:dataValidation type="list" sqref="S73">
      <x:formula1>"Yes,No"</x:formula1>
    </x:dataValidation>
    <x:dataValidation type="list" sqref="S74">
      <x:formula1>"Yes,No"</x:formula1>
    </x:dataValidation>
    <x:dataValidation type="list" sqref="S75">
      <x:formula1>"Yes,No"</x:formula1>
    </x:dataValidation>
    <x:dataValidation type="list" sqref="S76">
      <x:formula1>"Yes,No"</x:formula1>
    </x:dataValidation>
    <x:dataValidation type="list" sqref="S77">
      <x:formula1>"Yes,No"</x:formula1>
    </x:dataValidation>
    <x:dataValidation type="list" sqref="S78">
      <x:formula1>"Yes,No"</x:formula1>
    </x:dataValidation>
    <x:dataValidation type="list" sqref="S79">
      <x:formula1>"Yes,No"</x:formula1>
    </x:dataValidation>
    <x:dataValidation type="list" sqref="S80">
      <x:formula1>"Yes,No"</x:formula1>
    </x:dataValidation>
    <x:dataValidation type="list" sqref="S81">
      <x:formula1>"Yes,No"</x:formula1>
    </x:dataValidation>
    <x:dataValidation type="list" sqref="S82">
      <x:formula1>"Yes,No"</x:formula1>
    </x:dataValidation>
    <x:dataValidation type="list" sqref="S83">
      <x:formula1>"Yes,No"</x:formula1>
    </x:dataValidation>
    <x:dataValidation type="list" sqref="S84">
      <x:formula1>"Yes,No"</x:formula1>
    </x:dataValidation>
    <x:dataValidation type="list" sqref="S85">
      <x:formula1>"Yes,No"</x:formula1>
    </x:dataValidation>
    <x:dataValidation type="list" sqref="S86">
      <x:formula1>"Yes,No"</x:formula1>
    </x:dataValidation>
    <x:dataValidation type="list" sqref="S87">
      <x:formula1>"Yes,No"</x:formula1>
    </x:dataValidation>
    <x:dataValidation type="list" sqref="S88">
      <x:formula1>"Yes,No"</x:formula1>
    </x:dataValidation>
    <x:dataValidation type="list" sqref="S89">
      <x:formula1>"Yes,No"</x:formula1>
    </x:dataValidation>
    <x:dataValidation type="list" sqref="S90">
      <x:formula1>"Yes,No"</x:formula1>
    </x:dataValidation>
    <x:dataValidation type="list" sqref="S91">
      <x:formula1>"Yes,No"</x:formula1>
    </x:dataValidation>
    <x:dataValidation type="list" sqref="S92">
      <x:formula1>"Yes,No"</x:formula1>
    </x:dataValidation>
    <x:dataValidation type="list" sqref="S93">
      <x:formula1>"Yes,No"</x:formula1>
    </x:dataValidation>
    <x:dataValidation type="list" sqref="S94">
      <x:formula1>"Yes,No"</x:formula1>
    </x:dataValidation>
    <x:dataValidation type="list" sqref="D8">
      <x:formula1>"Membership,PayFac,Issuing,Shared,Partner"</x:formula1>
    </x:dataValidation>
    <x:dataValidation type="list" sqref="E8">
      <x:formula1>"Attract &amp; Join,Verify &amp; Activate,Get Paid,Pay &amp; Spend,Serve &amp; Protect,Reward &amp; Retain,Use"</x:formula1>
    </x:dataValidation>
    <x:dataValidation type="list" sqref="F8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8">
      <x:formula1>"Personal,Household,Seller,Cross-platform"</x:formula1>
    </x:dataValidation>
    <x:dataValidation type="list" sqref="D9">
      <x:formula1>"Membership,PayFac,Issuing,Shared,Partner"</x:formula1>
    </x:dataValidation>
    <x:dataValidation type="list" sqref="E9">
      <x:formula1>"Attract &amp; Join,Verify &amp; Activate,Get Paid,Pay &amp; Spend,Serve &amp; Protect,Reward &amp; Retain,Use"</x:formula1>
    </x:dataValidation>
    <x:dataValidation type="list" sqref="F9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9">
      <x:formula1>"Personal,Household,Seller,Cross-platform"</x:formula1>
    </x:dataValidation>
    <x:dataValidation type="list" sqref="D10">
      <x:formula1>"Membership,PayFac,Issuing,Shared,Partner"</x:formula1>
    </x:dataValidation>
    <x:dataValidation type="list" sqref="E10">
      <x:formula1>"Attract &amp; Join,Verify &amp; Activate,Get Paid,Pay &amp; Spend,Serve &amp; Protect,Reward &amp; Retain,Use"</x:formula1>
    </x:dataValidation>
    <x:dataValidation type="list" sqref="F10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10">
      <x:formula1>"Personal,Household,Seller,Cross-platform"</x:formula1>
    </x:dataValidation>
    <x:dataValidation type="list" sqref="D11">
      <x:formula1>"Membership,PayFac,Issuing,Shared,Partner"</x:formula1>
    </x:dataValidation>
    <x:dataValidation type="list" sqref="E11">
      <x:formula1>"Attract &amp; Join,Verify &amp; Activate,Get Paid,Pay &amp; Spend,Serve &amp; Protect,Reward &amp; Retain,Use"</x:formula1>
    </x:dataValidation>
    <x:dataValidation type="list" sqref="F11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11">
      <x:formula1>"Personal,Household,Seller,Cross-platform"</x:formula1>
    </x:dataValidation>
    <x:dataValidation type="list" sqref="D12">
      <x:formula1>"Membership,PayFac,Issuing,Shared,Partner"</x:formula1>
    </x:dataValidation>
    <x:dataValidation type="list" sqref="E12">
      <x:formula1>"Attract &amp; Join,Verify &amp; Activate,Get Paid,Pay &amp; Spend,Serve &amp; Protect,Reward &amp; Retain,Use"</x:formula1>
    </x:dataValidation>
    <x:dataValidation type="list" sqref="F12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12">
      <x:formula1>"Personal,Household,Seller,Cross-platform"</x:formula1>
    </x:dataValidation>
    <x:dataValidation type="list" sqref="D13">
      <x:formula1>"Membership,PayFac,Issuing,Shared,Partner"</x:formula1>
    </x:dataValidation>
    <x:dataValidation type="list" sqref="E13">
      <x:formula1>"Attract &amp; Join,Verify &amp; Activate,Get Paid,Pay &amp; Spend,Serve &amp; Protect,Reward &amp; Retain,Use"</x:formula1>
    </x:dataValidation>
    <x:dataValidation type="list" sqref="F13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13">
      <x:formula1>"Personal,Household,Seller,Cross-platform"</x:formula1>
    </x:dataValidation>
    <x:dataValidation type="list" sqref="D14">
      <x:formula1>"Membership,PayFac,Issuing,Shared,Partner"</x:formula1>
    </x:dataValidation>
    <x:dataValidation type="list" sqref="E14">
      <x:formula1>"Attract &amp; Join,Verify &amp; Activate,Get Paid,Pay &amp; Spend,Serve &amp; Protect,Reward &amp; Retain,Use"</x:formula1>
    </x:dataValidation>
    <x:dataValidation type="list" sqref="F14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14">
      <x:formula1>"Personal,Household,Seller,Cross-platform"</x:formula1>
    </x:dataValidation>
    <x:dataValidation type="list" sqref="D15">
      <x:formula1>"Membership,PayFac,Issuing,Shared,Partner"</x:formula1>
    </x:dataValidation>
    <x:dataValidation type="list" sqref="E15">
      <x:formula1>"Attract &amp; Join,Verify &amp; Activate,Get Paid,Pay &amp; Spend,Serve &amp; Protect,Reward &amp; Retain,Use"</x:formula1>
    </x:dataValidation>
    <x:dataValidation type="list" sqref="F15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15">
      <x:formula1>"Personal,Household,Seller,Cross-platform"</x:formula1>
    </x:dataValidation>
    <x:dataValidation type="list" sqref="D16">
      <x:formula1>"Membership,PayFac,Issuing,Shared,Partner"</x:formula1>
    </x:dataValidation>
    <x:dataValidation type="list" sqref="E16">
      <x:formula1>"Attract &amp; Join,Verify &amp; Activate,Get Paid,Pay &amp; Spend,Serve &amp; Protect,Reward &amp; Retain,Use"</x:formula1>
    </x:dataValidation>
    <x:dataValidation type="list" sqref="F16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16">
      <x:formula1>"Personal,Household,Seller,Cross-platform"</x:formula1>
    </x:dataValidation>
    <x:dataValidation type="list" sqref="D17">
      <x:formula1>"Membership,PayFac,Issuing,Shared,Partner"</x:formula1>
    </x:dataValidation>
    <x:dataValidation type="list" sqref="E17">
      <x:formula1>"Attract &amp; Join,Verify &amp; Activate,Get Paid,Pay &amp; Spend,Serve &amp; Protect,Reward &amp; Retain,Use"</x:formula1>
    </x:dataValidation>
    <x:dataValidation type="list" sqref="F17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17">
      <x:formula1>"Personal,Household,Seller,Cross-platform"</x:formula1>
    </x:dataValidation>
    <x:dataValidation type="list" sqref="D18">
      <x:formula1>"Membership,PayFac,Issuing,Shared,Partner"</x:formula1>
    </x:dataValidation>
    <x:dataValidation type="list" sqref="E18">
      <x:formula1>"Attract &amp; Join,Verify &amp; Activate,Get Paid,Pay &amp; Spend,Serve &amp; Protect,Reward &amp; Retain,Use"</x:formula1>
    </x:dataValidation>
    <x:dataValidation type="list" sqref="F18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18">
      <x:formula1>"Personal,Household,Seller,Cross-platform"</x:formula1>
    </x:dataValidation>
    <x:dataValidation type="list" sqref="D19">
      <x:formula1>"Membership,PayFac,Issuing,Shared,Partner"</x:formula1>
    </x:dataValidation>
    <x:dataValidation type="list" sqref="E19">
      <x:formula1>"Attract &amp; Join,Verify &amp; Activate,Get Paid,Pay &amp; Spend,Serve &amp; Protect,Reward &amp; Retain,Use"</x:formula1>
    </x:dataValidation>
    <x:dataValidation type="list" sqref="F19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19">
      <x:formula1>"Personal,Household,Seller,Cross-platform"</x:formula1>
    </x:dataValidation>
    <x:dataValidation type="list" sqref="D20">
      <x:formula1>"Membership,PayFac,Issuing,Shared,Partner"</x:formula1>
    </x:dataValidation>
    <x:dataValidation type="list" sqref="E20">
      <x:formula1>"Attract &amp; Join,Verify &amp; Activate,Get Paid,Pay &amp; Spend,Serve &amp; Protect,Reward &amp; Retain,Use"</x:formula1>
    </x:dataValidation>
    <x:dataValidation type="list" sqref="F20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20">
      <x:formula1>"Personal,Household,Seller,Cross-platform"</x:formula1>
    </x:dataValidation>
    <x:dataValidation type="list" sqref="D21">
      <x:formula1>"Membership,PayFac,Issuing,Shared,Partner"</x:formula1>
    </x:dataValidation>
    <x:dataValidation type="list" sqref="E21">
      <x:formula1>"Attract &amp; Join,Verify &amp; Activate,Get Paid,Pay &amp; Spend,Serve &amp; Protect,Reward &amp; Retain,Use"</x:formula1>
    </x:dataValidation>
    <x:dataValidation type="list" sqref="F21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21">
      <x:formula1>"Personal,Household,Seller,Cross-platform"</x:formula1>
    </x:dataValidation>
    <x:dataValidation type="list" sqref="D22">
      <x:formula1>"Membership,PayFac,Issuing,Shared,Partner"</x:formula1>
    </x:dataValidation>
    <x:dataValidation type="list" sqref="E22">
      <x:formula1>"Attract &amp; Join,Verify &amp; Activate,Get Paid,Pay &amp; Spend,Serve &amp; Protect,Reward &amp; Retain,Use"</x:formula1>
    </x:dataValidation>
    <x:dataValidation type="list" sqref="F22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22">
      <x:formula1>"Personal,Household,Seller,Cross-platform"</x:formula1>
    </x:dataValidation>
    <x:dataValidation type="list" sqref="D23">
      <x:formula1>"Membership,PayFac,Issuing,Shared,Partner"</x:formula1>
    </x:dataValidation>
    <x:dataValidation type="list" sqref="E23">
      <x:formula1>"Attract &amp; Join,Verify &amp; Activate,Get Paid,Pay &amp; Spend,Serve &amp; Protect,Reward &amp; Retain,Use"</x:formula1>
    </x:dataValidation>
    <x:dataValidation type="list" sqref="F23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23">
      <x:formula1>"Personal,Household,Seller,Cross-platform"</x:formula1>
    </x:dataValidation>
    <x:dataValidation type="list" sqref="D24">
      <x:formula1>"Membership,PayFac,Issuing,Shared,Partner"</x:formula1>
    </x:dataValidation>
    <x:dataValidation type="list" sqref="E24">
      <x:formula1>"Attract &amp; Join,Verify &amp; Activate,Get Paid,Pay &amp; Spend,Serve &amp; Protect,Reward &amp; Retain,Use"</x:formula1>
    </x:dataValidation>
    <x:dataValidation type="list" sqref="F24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24">
      <x:formula1>"Personal,Household,Seller,Cross-platform"</x:formula1>
    </x:dataValidation>
    <x:dataValidation type="list" sqref="D25">
      <x:formula1>"Membership,PayFac,Issuing,Shared,Partner"</x:formula1>
    </x:dataValidation>
    <x:dataValidation type="list" sqref="E25">
      <x:formula1>"Attract &amp; Join,Verify &amp; Activate,Get Paid,Pay &amp; Spend,Serve &amp; Protect,Reward &amp; Retain,Use"</x:formula1>
    </x:dataValidation>
    <x:dataValidation type="list" sqref="F25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25">
      <x:formula1>"Personal,Household,Seller,Cross-platform"</x:formula1>
    </x:dataValidation>
    <x:dataValidation type="list" sqref="D26">
      <x:formula1>"Membership,PayFac,Issuing,Shared,Partner"</x:formula1>
    </x:dataValidation>
    <x:dataValidation type="list" sqref="E26">
      <x:formula1>"Attract &amp; Join,Verify &amp; Activate,Get Paid,Pay &amp; Spend,Serve &amp; Protect,Reward &amp; Retain,Use"</x:formula1>
    </x:dataValidation>
    <x:dataValidation type="list" sqref="F26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26">
      <x:formula1>"Personal,Household,Seller,Cross-platform"</x:formula1>
    </x:dataValidation>
    <x:dataValidation type="list" sqref="D27">
      <x:formula1>"Membership,PayFac,Issuing,Shared,Partner"</x:formula1>
    </x:dataValidation>
    <x:dataValidation type="list" sqref="E27">
      <x:formula1>"Attract &amp; Join,Verify &amp; Activate,Get Paid,Pay &amp; Spend,Serve &amp; Protect,Reward &amp; Retain,Use"</x:formula1>
    </x:dataValidation>
    <x:dataValidation type="list" sqref="F27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27">
      <x:formula1>"Personal,Household,Seller,Cross-platform"</x:formula1>
    </x:dataValidation>
    <x:dataValidation type="list" sqref="D28">
      <x:formula1>"Membership,PayFac,Issuing,Shared,Partner"</x:formula1>
    </x:dataValidation>
    <x:dataValidation type="list" sqref="E28">
      <x:formula1>"Attract &amp; Join,Verify &amp; Activate,Get Paid,Pay &amp; Spend,Serve &amp; Protect,Reward &amp; Retain,Use"</x:formula1>
    </x:dataValidation>
    <x:dataValidation type="list" sqref="F28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28">
      <x:formula1>"Personal,Household,Seller,Cross-platform"</x:formula1>
    </x:dataValidation>
    <x:dataValidation type="list" sqref="D29">
      <x:formula1>"Membership,PayFac,Issuing,Shared,Partner"</x:formula1>
    </x:dataValidation>
    <x:dataValidation type="list" sqref="E29">
      <x:formula1>"Attract &amp; Join,Verify &amp; Activate,Get Paid,Pay &amp; Spend,Serve &amp; Protect,Reward &amp; Retain,Use"</x:formula1>
    </x:dataValidation>
    <x:dataValidation type="list" sqref="F29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29">
      <x:formula1>"Personal,Household,Seller,Cross-platform"</x:formula1>
    </x:dataValidation>
    <x:dataValidation type="list" sqref="D30">
      <x:formula1>"Membership,PayFac,Issuing,Shared,Partner"</x:formula1>
    </x:dataValidation>
    <x:dataValidation type="list" sqref="E30">
      <x:formula1>"Attract &amp; Join,Verify &amp; Activate,Get Paid,Pay &amp; Spend,Serve &amp; Protect,Reward &amp; Retain,Use"</x:formula1>
    </x:dataValidation>
    <x:dataValidation type="list" sqref="F30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30">
      <x:formula1>"Personal,Household,Seller,Cross-platform"</x:formula1>
    </x:dataValidation>
    <x:dataValidation type="list" sqref="D31">
      <x:formula1>"Membership,PayFac,Issuing,Shared,Partner"</x:formula1>
    </x:dataValidation>
    <x:dataValidation type="list" sqref="E31">
      <x:formula1>"Attract &amp; Join,Verify &amp; Activate,Get Paid,Pay &amp; Spend,Serve &amp; Protect,Reward &amp; Retain,Use"</x:formula1>
    </x:dataValidation>
    <x:dataValidation type="list" sqref="F31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31">
      <x:formula1>"Personal,Household,Seller,Cross-platform"</x:formula1>
    </x:dataValidation>
    <x:dataValidation type="list" sqref="D32">
      <x:formula1>"Membership,PayFac,Issuing,Shared,Partner"</x:formula1>
    </x:dataValidation>
    <x:dataValidation type="list" sqref="E32">
      <x:formula1>"Attract &amp; Join,Verify &amp; Activate,Get Paid,Pay &amp; Spend,Serve &amp; Protect,Reward &amp; Retain,Use"</x:formula1>
    </x:dataValidation>
    <x:dataValidation type="list" sqref="F32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32">
      <x:formula1>"Personal,Household,Seller,Cross-platform"</x:formula1>
    </x:dataValidation>
    <x:dataValidation type="list" sqref="D33">
      <x:formula1>"Membership,PayFac,Issuing,Shared,Partner"</x:formula1>
    </x:dataValidation>
    <x:dataValidation type="list" sqref="E33">
      <x:formula1>"Attract &amp; Join,Verify &amp; Activate,Get Paid,Pay &amp; Spend,Serve &amp; Protect,Reward &amp; Retain,Use"</x:formula1>
    </x:dataValidation>
    <x:dataValidation type="list" sqref="F33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33">
      <x:formula1>"Personal,Household,Seller,Cross-platform"</x:formula1>
    </x:dataValidation>
    <x:dataValidation type="list" sqref="D34">
      <x:formula1>"Membership,PayFac,Issuing,Shared,Partner"</x:formula1>
    </x:dataValidation>
    <x:dataValidation type="list" sqref="E34">
      <x:formula1>"Attract &amp; Join,Verify &amp; Activate,Get Paid,Pay &amp; Spend,Serve &amp; Protect,Reward &amp; Retain,Use"</x:formula1>
    </x:dataValidation>
    <x:dataValidation type="list" sqref="F34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34">
      <x:formula1>"Personal,Household,Seller,Cross-platform"</x:formula1>
    </x:dataValidation>
    <x:dataValidation type="list" sqref="D35">
      <x:formula1>"Membership,PayFac,Issuing,Shared,Partner"</x:formula1>
    </x:dataValidation>
    <x:dataValidation type="list" sqref="E35">
      <x:formula1>"Attract &amp; Join,Verify &amp; Activate,Get Paid,Pay &amp; Spend,Serve &amp; Protect,Reward &amp; Retain,Use"</x:formula1>
    </x:dataValidation>
    <x:dataValidation type="list" sqref="F35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35">
      <x:formula1>"Personal,Household,Seller,Cross-platform"</x:formula1>
    </x:dataValidation>
    <x:dataValidation type="list" sqref="D36">
      <x:formula1>"Membership,PayFac,Issuing,Shared,Partner"</x:formula1>
    </x:dataValidation>
    <x:dataValidation type="list" sqref="E36">
      <x:formula1>"Attract &amp; Join,Verify &amp; Activate,Get Paid,Pay &amp; Spend,Serve &amp; Protect,Reward &amp; Retain,Use"</x:formula1>
    </x:dataValidation>
    <x:dataValidation type="list" sqref="F36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36">
      <x:formula1>"Personal,Household,Seller,Cross-platform"</x:formula1>
    </x:dataValidation>
    <x:dataValidation type="list" sqref="D37">
      <x:formula1>"Membership,PayFac,Issuing,Shared,Partner"</x:formula1>
    </x:dataValidation>
    <x:dataValidation type="list" sqref="E37">
      <x:formula1>"Attract &amp; Join,Verify &amp; Activate,Get Paid,Pay &amp; Spend,Serve &amp; Protect,Reward &amp; Retain,Use"</x:formula1>
    </x:dataValidation>
    <x:dataValidation type="list" sqref="F37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37">
      <x:formula1>"Personal,Household,Seller,Cross-platform"</x:formula1>
    </x:dataValidation>
    <x:dataValidation type="list" sqref="D38">
      <x:formula1>"Membership,PayFac,Issuing,Shared,Partner"</x:formula1>
    </x:dataValidation>
    <x:dataValidation type="list" sqref="E38">
      <x:formula1>"Attract &amp; Join,Verify &amp; Activate,Get Paid,Pay &amp; Spend,Serve &amp; Protect,Reward &amp; Retain,Use"</x:formula1>
    </x:dataValidation>
    <x:dataValidation type="list" sqref="F38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38">
      <x:formula1>"Personal,Household,Seller,Cross-platform"</x:formula1>
    </x:dataValidation>
    <x:dataValidation type="list" sqref="D39">
      <x:formula1>"Membership,PayFac,Issuing,Shared,Partner"</x:formula1>
    </x:dataValidation>
    <x:dataValidation type="list" sqref="E39">
      <x:formula1>"Attract &amp; Join,Verify &amp; Activate,Get Paid,Pay &amp; Spend,Serve &amp; Protect,Reward &amp; Retain,Use"</x:formula1>
    </x:dataValidation>
    <x:dataValidation type="list" sqref="F39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39">
      <x:formula1>"Personal,Household,Seller,Cross-platform"</x:formula1>
    </x:dataValidation>
    <x:dataValidation type="list" sqref="D40">
      <x:formula1>"Membership,PayFac,Issuing,Shared,Partner"</x:formula1>
    </x:dataValidation>
    <x:dataValidation type="list" sqref="E40">
      <x:formula1>"Attract &amp; Join,Verify &amp; Activate,Get Paid,Pay &amp; Spend,Serve &amp; Protect,Reward &amp; Retain,Use"</x:formula1>
    </x:dataValidation>
    <x:dataValidation type="list" sqref="F40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40">
      <x:formula1>"Personal,Household,Seller,Cross-platform"</x:formula1>
    </x:dataValidation>
    <x:dataValidation type="list" sqref="D41">
      <x:formula1>"Membership,PayFac,Issuing,Shared,Partner"</x:formula1>
    </x:dataValidation>
    <x:dataValidation type="list" sqref="E41">
      <x:formula1>"Attract &amp; Join,Verify &amp; Activate,Get Paid,Pay &amp; Spend,Serve &amp; Protect,Reward &amp; Retain,Use"</x:formula1>
    </x:dataValidation>
    <x:dataValidation type="list" sqref="F41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41">
      <x:formula1>"Personal,Household,Seller,Cross-platform"</x:formula1>
    </x:dataValidation>
    <x:dataValidation type="list" sqref="D42">
      <x:formula1>"Membership,PayFac,Issuing,Shared,Partner"</x:formula1>
    </x:dataValidation>
    <x:dataValidation type="list" sqref="E42">
      <x:formula1>"Attract &amp; Join,Verify &amp; Activate,Get Paid,Pay &amp; Spend,Serve &amp; Protect,Reward &amp; Retain,Use"</x:formula1>
    </x:dataValidation>
    <x:dataValidation type="list" sqref="F42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42">
      <x:formula1>"Personal,Household,Seller,Cross-platform"</x:formula1>
    </x:dataValidation>
    <x:dataValidation type="list" sqref="D43">
      <x:formula1>"Membership,PayFac,Issuing,Shared,Partner"</x:formula1>
    </x:dataValidation>
    <x:dataValidation type="list" sqref="E43">
      <x:formula1>"Attract &amp; Join,Verify &amp; Activate,Get Paid,Pay &amp; Spend,Serve &amp; Protect,Reward &amp; Retain,Use"</x:formula1>
    </x:dataValidation>
    <x:dataValidation type="list" sqref="F43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43">
      <x:formula1>"Personal,Household,Seller,Cross-platform"</x:formula1>
    </x:dataValidation>
    <x:dataValidation type="list" sqref="D44">
      <x:formula1>"Membership,PayFac,Issuing,Shared,Partner"</x:formula1>
    </x:dataValidation>
    <x:dataValidation type="list" sqref="E44">
      <x:formula1>"Attract &amp; Join,Verify &amp; Activate,Get Paid,Pay &amp; Spend,Serve &amp; Protect,Reward &amp; Retain,Use"</x:formula1>
    </x:dataValidation>
    <x:dataValidation type="list" sqref="F44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44">
      <x:formula1>"Personal,Household,Seller,Cross-platform"</x:formula1>
    </x:dataValidation>
    <x:dataValidation type="list" sqref="D45">
      <x:formula1>"Membership,PayFac,Issuing,Shared,Partner"</x:formula1>
    </x:dataValidation>
    <x:dataValidation type="list" sqref="E45">
      <x:formula1>"Attract &amp; Join,Verify &amp; Activate,Get Paid,Pay &amp; Spend,Serve &amp; Protect,Reward &amp; Retain,Use"</x:formula1>
    </x:dataValidation>
    <x:dataValidation type="list" sqref="F45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45">
      <x:formula1>"Personal,Household,Seller,Cross-platform"</x:formula1>
    </x:dataValidation>
    <x:dataValidation type="list" sqref="D46">
      <x:formula1>"Membership,PayFac,Issuing,Shared,Partner"</x:formula1>
    </x:dataValidation>
    <x:dataValidation type="list" sqref="E46">
      <x:formula1>"Attract &amp; Join,Verify &amp; Activate,Get Paid,Pay &amp; Spend,Serve &amp; Protect,Reward &amp; Retain,Use"</x:formula1>
    </x:dataValidation>
    <x:dataValidation type="list" sqref="F46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46">
      <x:formula1>"Personal,Household,Seller,Cross-platform"</x:formula1>
    </x:dataValidation>
    <x:dataValidation type="list" sqref="D47">
      <x:formula1>"Membership,PayFac,Issuing,Shared,Partner"</x:formula1>
    </x:dataValidation>
    <x:dataValidation type="list" sqref="E47">
      <x:formula1>"Attract &amp; Join,Verify &amp; Activate,Get Paid,Pay &amp; Spend,Serve &amp; Protect,Reward &amp; Retain,Use"</x:formula1>
    </x:dataValidation>
    <x:dataValidation type="list" sqref="F47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47">
      <x:formula1>"Personal,Household,Seller,Cross-platform"</x:formula1>
    </x:dataValidation>
    <x:dataValidation type="list" sqref="D48">
      <x:formula1>"Membership,PayFac,Issuing,Shared,Partner"</x:formula1>
    </x:dataValidation>
    <x:dataValidation type="list" sqref="E48">
      <x:formula1>"Attract &amp; Join,Verify &amp; Activate,Get Paid,Pay &amp; Spend,Serve &amp; Protect,Reward &amp; Retain,Use"</x:formula1>
    </x:dataValidation>
    <x:dataValidation type="list" sqref="F48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48">
      <x:formula1>"Personal,Household,Seller,Cross-platform"</x:formula1>
    </x:dataValidation>
    <x:dataValidation type="list" sqref="D49">
      <x:formula1>"Membership,PayFac,Issuing,Shared,Partner"</x:formula1>
    </x:dataValidation>
    <x:dataValidation type="list" sqref="E49">
      <x:formula1>"Attract &amp; Join,Verify &amp; Activate,Get Paid,Pay &amp; Spend,Serve &amp; Protect,Reward &amp; Retain,Use"</x:formula1>
    </x:dataValidation>
    <x:dataValidation type="list" sqref="F49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49">
      <x:formula1>"Personal,Household,Seller,Cross-platform"</x:formula1>
    </x:dataValidation>
    <x:dataValidation type="list" sqref="D50">
      <x:formula1>"Membership,PayFac,Issuing,Shared,Partner"</x:formula1>
    </x:dataValidation>
    <x:dataValidation type="list" sqref="E50">
      <x:formula1>"Attract &amp; Join,Verify &amp; Activate,Get Paid,Pay &amp; Spend,Serve &amp; Protect,Reward &amp; Retain,Use"</x:formula1>
    </x:dataValidation>
    <x:dataValidation type="list" sqref="F50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50">
      <x:formula1>"Personal,Household,Seller,Cross-platform"</x:formula1>
    </x:dataValidation>
    <x:dataValidation type="list" sqref="D51">
      <x:formula1>"Membership,PayFac,Issuing,Shared,Partner"</x:formula1>
    </x:dataValidation>
    <x:dataValidation type="list" sqref="E51">
      <x:formula1>"Attract &amp; Join,Verify &amp; Activate,Get Paid,Pay &amp; Spend,Serve &amp; Protect,Reward &amp; Retain,Use"</x:formula1>
    </x:dataValidation>
    <x:dataValidation type="list" sqref="F51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51">
      <x:formula1>"Personal,Household,Seller,Cross-platform"</x:formula1>
    </x:dataValidation>
    <x:dataValidation type="list" sqref="D52">
      <x:formula1>"Membership,PayFac,Issuing,Shared,Partner"</x:formula1>
    </x:dataValidation>
    <x:dataValidation type="list" sqref="E52">
      <x:formula1>"Attract &amp; Join,Verify &amp; Activate,Get Paid,Pay &amp; Spend,Serve &amp; Protect,Reward &amp; Retain,Use"</x:formula1>
    </x:dataValidation>
    <x:dataValidation type="list" sqref="F52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52">
      <x:formula1>"Personal,Household,Seller,Cross-platform"</x:formula1>
    </x:dataValidation>
    <x:dataValidation type="list" sqref="D53">
      <x:formula1>"Membership,PayFac,Issuing,Shared,Partner"</x:formula1>
    </x:dataValidation>
    <x:dataValidation type="list" sqref="E53">
      <x:formula1>"Attract &amp; Join,Verify &amp; Activate,Get Paid,Pay &amp; Spend,Serve &amp; Protect,Reward &amp; Retain,Use"</x:formula1>
    </x:dataValidation>
    <x:dataValidation type="list" sqref="F53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53">
      <x:formula1>"Personal,Household,Seller,Cross-platform"</x:formula1>
    </x:dataValidation>
    <x:dataValidation type="list" sqref="D54">
      <x:formula1>"Membership,PayFac,Issuing,Shared,Partner"</x:formula1>
    </x:dataValidation>
    <x:dataValidation type="list" sqref="E54">
      <x:formula1>"Attract &amp; Join,Verify &amp; Activate,Get Paid,Pay &amp; Spend,Serve &amp; Protect,Reward &amp; Retain,Use"</x:formula1>
    </x:dataValidation>
    <x:dataValidation type="list" sqref="F54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54">
      <x:formula1>"Personal,Household,Seller,Cross-platform"</x:formula1>
    </x:dataValidation>
    <x:dataValidation type="list" sqref="D55">
      <x:formula1>"Membership,PayFac,Issuing,Shared,Partner"</x:formula1>
    </x:dataValidation>
    <x:dataValidation type="list" sqref="E55">
      <x:formula1>"Attract &amp; Join,Verify &amp; Activate,Get Paid,Pay &amp; Spend,Serve &amp; Protect,Reward &amp; Retain,Use"</x:formula1>
    </x:dataValidation>
    <x:dataValidation type="list" sqref="F55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55">
      <x:formula1>"Personal,Household,Seller,Cross-platform"</x:formula1>
    </x:dataValidation>
    <x:dataValidation type="list" sqref="D56">
      <x:formula1>"Membership,PayFac,Issuing,Shared,Partner"</x:formula1>
    </x:dataValidation>
    <x:dataValidation type="list" sqref="E56">
      <x:formula1>"Attract &amp; Join,Verify &amp; Activate,Get Paid,Pay &amp; Spend,Serve &amp; Protect,Reward &amp; Retain,Use"</x:formula1>
    </x:dataValidation>
    <x:dataValidation type="list" sqref="F56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56">
      <x:formula1>"Personal,Household,Seller,Cross-platform"</x:formula1>
    </x:dataValidation>
    <x:dataValidation type="list" sqref="D57">
      <x:formula1>"Membership,PayFac,Issuing,Shared,Partner"</x:formula1>
    </x:dataValidation>
    <x:dataValidation type="list" sqref="E57">
      <x:formula1>"Attract &amp; Join,Verify &amp; Activate,Get Paid,Pay &amp; Spend,Serve &amp; Protect,Reward &amp; Retain,Use"</x:formula1>
    </x:dataValidation>
    <x:dataValidation type="list" sqref="F57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57">
      <x:formula1>"Personal,Household,Seller,Cross-platform"</x:formula1>
    </x:dataValidation>
    <x:dataValidation type="list" sqref="D58">
      <x:formula1>"Membership,PayFac,Issuing,Shared,Partner"</x:formula1>
    </x:dataValidation>
    <x:dataValidation type="list" sqref="E58">
      <x:formula1>"Attract &amp; Join,Verify &amp; Activate,Get Paid,Pay &amp; Spend,Serve &amp; Protect,Reward &amp; Retain,Use"</x:formula1>
    </x:dataValidation>
    <x:dataValidation type="list" sqref="F58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58">
      <x:formula1>"Personal,Household,Seller,Cross-platform"</x:formula1>
    </x:dataValidation>
    <x:dataValidation type="list" sqref="D59">
      <x:formula1>"Membership,PayFac,Issuing,Shared,Partner"</x:formula1>
    </x:dataValidation>
    <x:dataValidation type="list" sqref="E59">
      <x:formula1>"Attract &amp; Join,Verify &amp; Activate,Get Paid,Pay &amp; Spend,Serve &amp; Protect,Reward &amp; Retain,Use"</x:formula1>
    </x:dataValidation>
    <x:dataValidation type="list" sqref="F59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59">
      <x:formula1>"Personal,Household,Seller,Cross-platform"</x:formula1>
    </x:dataValidation>
    <x:dataValidation type="list" sqref="D60">
      <x:formula1>"Membership,PayFac,Issuing,Shared,Partner"</x:formula1>
    </x:dataValidation>
    <x:dataValidation type="list" sqref="E60">
      <x:formula1>"Attract &amp; Join,Verify &amp; Activate,Get Paid,Pay &amp; Spend,Serve &amp; Protect,Reward &amp; Retain,Use"</x:formula1>
    </x:dataValidation>
    <x:dataValidation type="list" sqref="F60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60">
      <x:formula1>"Personal,Household,Seller,Cross-platform"</x:formula1>
    </x:dataValidation>
    <x:dataValidation type="list" sqref="D61">
      <x:formula1>"Membership,PayFac,Issuing,Shared,Partner"</x:formula1>
    </x:dataValidation>
    <x:dataValidation type="list" sqref="E61">
      <x:formula1>"Attract &amp; Join,Verify &amp; Activate,Get Paid,Pay &amp; Spend,Serve &amp; Protect,Reward &amp; Retain,Use"</x:formula1>
    </x:dataValidation>
    <x:dataValidation type="list" sqref="F61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61">
      <x:formula1>"Personal,Household,Seller,Cross-platform"</x:formula1>
    </x:dataValidation>
    <x:dataValidation type="list" sqref="D62">
      <x:formula1>"Membership,PayFac,Issuing,Shared,Partner"</x:formula1>
    </x:dataValidation>
    <x:dataValidation type="list" sqref="E62">
      <x:formula1>"Attract &amp; Join,Verify &amp; Activate,Get Paid,Pay &amp; Spend,Serve &amp; Protect,Reward &amp; Retain,Use"</x:formula1>
    </x:dataValidation>
    <x:dataValidation type="list" sqref="F62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62">
      <x:formula1>"Personal,Household,Seller,Cross-platform"</x:formula1>
    </x:dataValidation>
    <x:dataValidation type="list" sqref="D63">
      <x:formula1>"Membership,PayFac,Issuing,Shared,Partner"</x:formula1>
    </x:dataValidation>
    <x:dataValidation type="list" sqref="E63">
      <x:formula1>"Attract &amp; Join,Verify &amp; Activate,Get Paid,Pay &amp; Spend,Serve &amp; Protect,Reward &amp; Retain,Use"</x:formula1>
    </x:dataValidation>
    <x:dataValidation type="list" sqref="F63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63">
      <x:formula1>"Personal,Household,Seller,Cross-platform"</x:formula1>
    </x:dataValidation>
    <x:dataValidation type="list" sqref="D64">
      <x:formula1>"Membership,PayFac,Issuing,Shared,Partner"</x:formula1>
    </x:dataValidation>
    <x:dataValidation type="list" sqref="E64">
      <x:formula1>"Attract &amp; Join,Verify &amp; Activate,Get Paid,Pay &amp; Spend,Serve &amp; Protect,Reward &amp; Retain,Use"</x:formula1>
    </x:dataValidation>
    <x:dataValidation type="list" sqref="F64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64">
      <x:formula1>"Personal,Household,Seller,Cross-platform"</x:formula1>
    </x:dataValidation>
    <x:dataValidation type="list" sqref="D65">
      <x:formula1>"Membership,PayFac,Issuing,Shared,Partner"</x:formula1>
    </x:dataValidation>
    <x:dataValidation type="list" sqref="E65">
      <x:formula1>"Attract &amp; Join,Verify &amp; Activate,Get Paid,Pay &amp; Spend,Serve &amp; Protect,Reward &amp; Retain,Use"</x:formula1>
    </x:dataValidation>
    <x:dataValidation type="list" sqref="F65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65">
      <x:formula1>"Personal,Household,Seller,Cross-platform"</x:formula1>
    </x:dataValidation>
    <x:dataValidation type="list" sqref="D66">
      <x:formula1>"Membership,PayFac,Issuing,Shared,Partner"</x:formula1>
    </x:dataValidation>
    <x:dataValidation type="list" sqref="E66">
      <x:formula1>"Attract &amp; Join,Verify &amp; Activate,Get Paid,Pay &amp; Spend,Serve &amp; Protect,Reward &amp; Retain,Use"</x:formula1>
    </x:dataValidation>
    <x:dataValidation type="list" sqref="F66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66">
      <x:formula1>"Personal,Household,Seller,Cross-platform"</x:formula1>
    </x:dataValidation>
    <x:dataValidation type="list" sqref="D67">
      <x:formula1>"Membership,PayFac,Issuing,Shared,Partner"</x:formula1>
    </x:dataValidation>
    <x:dataValidation type="list" sqref="E67">
      <x:formula1>"Attract &amp; Join,Verify &amp; Activate,Get Paid,Pay &amp; Spend,Serve &amp; Protect,Reward &amp; Retain,Use"</x:formula1>
    </x:dataValidation>
    <x:dataValidation type="list" sqref="F67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67">
      <x:formula1>"Personal,Household,Seller,Cross-platform"</x:formula1>
    </x:dataValidation>
    <x:dataValidation type="list" sqref="D68">
      <x:formula1>"Membership,PayFac,Issuing,Shared,Partner"</x:formula1>
    </x:dataValidation>
    <x:dataValidation type="list" sqref="E68">
      <x:formula1>"Attract &amp; Join,Verify &amp; Activate,Get Paid,Pay &amp; Spend,Serve &amp; Protect,Reward &amp; Retain,Use"</x:formula1>
    </x:dataValidation>
    <x:dataValidation type="list" sqref="F68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68">
      <x:formula1>"Personal,Household,Seller,Cross-platform"</x:formula1>
    </x:dataValidation>
    <x:dataValidation type="list" sqref="D69">
      <x:formula1>"Membership,PayFac,Issuing,Shared,Partner"</x:formula1>
    </x:dataValidation>
    <x:dataValidation type="list" sqref="E69">
      <x:formula1>"Attract &amp; Join,Verify &amp; Activate,Get Paid,Pay &amp; Spend,Serve &amp; Protect,Reward &amp; Retain,Use"</x:formula1>
    </x:dataValidation>
    <x:dataValidation type="list" sqref="F69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69">
      <x:formula1>"Personal,Household,Seller,Cross-platform"</x:formula1>
    </x:dataValidation>
    <x:dataValidation type="list" sqref="D70">
      <x:formula1>"Membership,PayFac,Issuing,Shared,Partner"</x:formula1>
    </x:dataValidation>
    <x:dataValidation type="list" sqref="E70">
      <x:formula1>"Attract &amp; Join,Verify &amp; Activate,Get Paid,Pay &amp; Spend,Serve &amp; Protect,Reward &amp; Retain,Use"</x:formula1>
    </x:dataValidation>
    <x:dataValidation type="list" sqref="F70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70">
      <x:formula1>"Personal,Household,Seller,Cross-platform"</x:formula1>
    </x:dataValidation>
    <x:dataValidation type="list" sqref="D71">
      <x:formula1>"Membership,PayFac,Issuing,Shared,Partner"</x:formula1>
    </x:dataValidation>
    <x:dataValidation type="list" sqref="E71">
      <x:formula1>"Attract &amp; Join,Verify &amp; Activate,Get Paid,Pay &amp; Spend,Serve &amp; Protect,Reward &amp; Retain,Use"</x:formula1>
    </x:dataValidation>
    <x:dataValidation type="list" sqref="F71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71">
      <x:formula1>"Personal,Household,Seller,Cross-platform"</x:formula1>
    </x:dataValidation>
    <x:dataValidation type="list" sqref="D72">
      <x:formula1>"Membership,PayFac,Issuing,Shared,Partner"</x:formula1>
    </x:dataValidation>
    <x:dataValidation type="list" sqref="E72">
      <x:formula1>"Attract &amp; Join,Verify &amp; Activate,Get Paid,Pay &amp; Spend,Serve &amp; Protect,Reward &amp; Retain,Use"</x:formula1>
    </x:dataValidation>
    <x:dataValidation type="list" sqref="F72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72">
      <x:formula1>"Personal,Household,Seller,Cross-platform"</x:formula1>
    </x:dataValidation>
    <x:dataValidation type="list" sqref="D73">
      <x:formula1>"Membership,PayFac,Issuing,Shared,Partner"</x:formula1>
    </x:dataValidation>
    <x:dataValidation type="list" sqref="E73">
      <x:formula1>"Attract &amp; Join,Verify &amp; Activate,Get Paid,Pay &amp; Spend,Serve &amp; Protect,Reward &amp; Retain,Use"</x:formula1>
    </x:dataValidation>
    <x:dataValidation type="list" sqref="F73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73">
      <x:formula1>"Personal,Household,Seller,Cross-platform"</x:formula1>
    </x:dataValidation>
    <x:dataValidation type="list" sqref="D74">
      <x:formula1>"Membership,PayFac,Issuing,Shared,Partner"</x:formula1>
    </x:dataValidation>
    <x:dataValidation type="list" sqref="E74">
      <x:formula1>"Attract &amp; Join,Verify &amp; Activate,Get Paid,Pay &amp; Spend,Serve &amp; Protect,Reward &amp; Retain,Use"</x:formula1>
    </x:dataValidation>
    <x:dataValidation type="list" sqref="F74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74">
      <x:formula1>"Personal,Household,Seller,Cross-platform"</x:formula1>
    </x:dataValidation>
    <x:dataValidation type="list" sqref="D75">
      <x:formula1>"Membership,PayFac,Issuing,Shared,Partner"</x:formula1>
    </x:dataValidation>
    <x:dataValidation type="list" sqref="E75">
      <x:formula1>"Attract &amp; Join,Verify &amp; Activate,Get Paid,Pay &amp; Spend,Serve &amp; Protect,Reward &amp; Retain,Use"</x:formula1>
    </x:dataValidation>
    <x:dataValidation type="list" sqref="F75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75">
      <x:formula1>"Personal,Household,Seller,Cross-platform"</x:formula1>
    </x:dataValidation>
    <x:dataValidation type="list" sqref="D76">
      <x:formula1>"Membership,PayFac,Issuing,Shared,Partner"</x:formula1>
    </x:dataValidation>
    <x:dataValidation type="list" sqref="E76">
      <x:formula1>"Attract &amp; Join,Verify &amp; Activate,Get Paid,Pay &amp; Spend,Serve &amp; Protect,Reward &amp; Retain,Use"</x:formula1>
    </x:dataValidation>
    <x:dataValidation type="list" sqref="F76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76">
      <x:formula1>"Personal,Household,Seller,Cross-platform"</x:formula1>
    </x:dataValidation>
    <x:dataValidation type="list" sqref="D77">
      <x:formula1>"Membership,PayFac,Issuing,Shared,Partner"</x:formula1>
    </x:dataValidation>
    <x:dataValidation type="list" sqref="E77">
      <x:formula1>"Attract &amp; Join,Verify &amp; Activate,Get Paid,Pay &amp; Spend,Serve &amp; Protect,Reward &amp; Retain,Use"</x:formula1>
    </x:dataValidation>
    <x:dataValidation type="list" sqref="F77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77">
      <x:formula1>"Personal,Household,Seller,Cross-platform"</x:formula1>
    </x:dataValidation>
    <x:dataValidation type="list" sqref="D78">
      <x:formula1>"Membership,PayFac,Issuing,Shared,Partner"</x:formula1>
    </x:dataValidation>
    <x:dataValidation type="list" sqref="E78">
      <x:formula1>"Attract &amp; Join,Verify &amp; Activate,Get Paid,Pay &amp; Spend,Serve &amp; Protect,Reward &amp; Retain,Use"</x:formula1>
    </x:dataValidation>
    <x:dataValidation type="list" sqref="F78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78">
      <x:formula1>"Personal,Household,Seller,Cross-platform"</x:formula1>
    </x:dataValidation>
    <x:dataValidation type="list" sqref="D79">
      <x:formula1>"Membership,PayFac,Issuing,Shared,Partner"</x:formula1>
    </x:dataValidation>
    <x:dataValidation type="list" sqref="E79">
      <x:formula1>"Attract &amp; Join,Verify &amp; Activate,Get Paid,Pay &amp; Spend,Serve &amp; Protect,Reward &amp; Retain,Use"</x:formula1>
    </x:dataValidation>
    <x:dataValidation type="list" sqref="F79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79">
      <x:formula1>"Personal,Household,Seller,Cross-platform"</x:formula1>
    </x:dataValidation>
    <x:dataValidation type="list" sqref="D80">
      <x:formula1>"Membership,PayFac,Issuing,Shared,Partner"</x:formula1>
    </x:dataValidation>
    <x:dataValidation type="list" sqref="E80">
      <x:formula1>"Attract &amp; Join,Verify &amp; Activate,Get Paid,Pay &amp; Spend,Serve &amp; Protect,Reward &amp; Retain,Use"</x:formula1>
    </x:dataValidation>
    <x:dataValidation type="list" sqref="F80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80">
      <x:formula1>"Personal,Household,Seller,Cross-platform"</x:formula1>
    </x:dataValidation>
    <x:dataValidation type="list" sqref="D81">
      <x:formula1>"Membership,PayFac,Issuing,Shared,Partner"</x:formula1>
    </x:dataValidation>
    <x:dataValidation type="list" sqref="E81">
      <x:formula1>"Attract &amp; Join,Verify &amp; Activate,Get Paid,Pay &amp; Spend,Serve &amp; Protect,Reward &amp; Retain,Use"</x:formula1>
    </x:dataValidation>
    <x:dataValidation type="list" sqref="F81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81">
      <x:formula1>"Personal,Household,Seller,Cross-platform"</x:formula1>
    </x:dataValidation>
    <x:dataValidation type="list" sqref="D82">
      <x:formula1>"Membership,PayFac,Issuing,Shared,Partner"</x:formula1>
    </x:dataValidation>
    <x:dataValidation type="list" sqref="E82">
      <x:formula1>"Attract &amp; Join,Verify &amp; Activate,Get Paid,Pay &amp; Spend,Serve &amp; Protect,Reward &amp; Retain,Use"</x:formula1>
    </x:dataValidation>
    <x:dataValidation type="list" sqref="F82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82">
      <x:formula1>"Personal,Household,Seller,Cross-platform"</x:formula1>
    </x:dataValidation>
    <x:dataValidation type="list" sqref="D83">
      <x:formula1>"Membership,PayFac,Issuing,Shared,Partner"</x:formula1>
    </x:dataValidation>
    <x:dataValidation type="list" sqref="E83">
      <x:formula1>"Attract &amp; Join,Verify &amp; Activate,Get Paid,Pay &amp; Spend,Serve &amp; Protect,Reward &amp; Retain,Use"</x:formula1>
    </x:dataValidation>
    <x:dataValidation type="list" sqref="F83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83">
      <x:formula1>"Personal,Household,Seller,Cross-platform"</x:formula1>
    </x:dataValidation>
    <x:dataValidation type="list" sqref="D84">
      <x:formula1>"Membership,PayFac,Issuing,Shared,Partner"</x:formula1>
    </x:dataValidation>
    <x:dataValidation type="list" sqref="E84">
      <x:formula1>"Attract &amp; Join,Verify &amp; Activate,Get Paid,Pay &amp; Spend,Serve &amp; Protect,Reward &amp; Retain,Use"</x:formula1>
    </x:dataValidation>
    <x:dataValidation type="list" sqref="F84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84">
      <x:formula1>"Personal,Household,Seller,Cross-platform"</x:formula1>
    </x:dataValidation>
    <x:dataValidation type="list" sqref="D85">
      <x:formula1>"Membership,PayFac,Issuing,Shared,Partner"</x:formula1>
    </x:dataValidation>
    <x:dataValidation type="list" sqref="E85">
      <x:formula1>"Attract &amp; Join,Verify &amp; Activate,Get Paid,Pay &amp; Spend,Serve &amp; Protect,Reward &amp; Retain,Use"</x:formula1>
    </x:dataValidation>
    <x:dataValidation type="list" sqref="F85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85">
      <x:formula1>"Personal,Household,Seller,Cross-platform"</x:formula1>
    </x:dataValidation>
    <x:dataValidation type="list" sqref="D86">
      <x:formula1>"Membership,PayFac,Issuing,Shared,Partner"</x:formula1>
    </x:dataValidation>
    <x:dataValidation type="list" sqref="E86">
      <x:formula1>"Attract &amp; Join,Verify &amp; Activate,Get Paid,Pay &amp; Spend,Serve &amp; Protect,Reward &amp; Retain,Use"</x:formula1>
    </x:dataValidation>
    <x:dataValidation type="list" sqref="F86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86">
      <x:formula1>"Personal,Household,Seller,Cross-platform"</x:formula1>
    </x:dataValidation>
    <x:dataValidation type="list" sqref="D87">
      <x:formula1>"Membership,PayFac,Issuing,Shared,Partner"</x:formula1>
    </x:dataValidation>
    <x:dataValidation type="list" sqref="E87">
      <x:formula1>"Attract &amp; Join,Verify &amp; Activate,Get Paid,Pay &amp; Spend,Serve &amp; Protect,Reward &amp; Retain,Use"</x:formula1>
    </x:dataValidation>
    <x:dataValidation type="list" sqref="F87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87">
      <x:formula1>"Personal,Household,Seller,Cross-platform"</x:formula1>
    </x:dataValidation>
    <x:dataValidation type="list" sqref="D88">
      <x:formula1>"Membership,PayFac,Issuing,Shared,Partner"</x:formula1>
    </x:dataValidation>
    <x:dataValidation type="list" sqref="E88">
      <x:formula1>"Attract &amp; Join,Verify &amp; Activate,Get Paid,Pay &amp; Spend,Serve &amp; Protect,Reward &amp; Retain,Use"</x:formula1>
    </x:dataValidation>
    <x:dataValidation type="list" sqref="F88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88">
      <x:formula1>"Personal,Household,Seller,Cross-platform"</x:formula1>
    </x:dataValidation>
    <x:dataValidation type="list" sqref="D89">
      <x:formula1>"Membership,PayFac,Issuing,Shared,Partner"</x:formula1>
    </x:dataValidation>
    <x:dataValidation type="list" sqref="E89">
      <x:formula1>"Attract &amp; Join,Verify &amp; Activate,Get Paid,Pay &amp; Spend,Serve &amp; Protect,Reward &amp; Retain,Use"</x:formula1>
    </x:dataValidation>
    <x:dataValidation type="list" sqref="F89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89">
      <x:formula1>"Personal,Household,Seller,Cross-platform"</x:formula1>
    </x:dataValidation>
    <x:dataValidation type="list" sqref="D90">
      <x:formula1>"Membership,PayFac,Issuing,Shared,Partner"</x:formula1>
    </x:dataValidation>
    <x:dataValidation type="list" sqref="E90">
      <x:formula1>"Attract &amp; Join,Verify &amp; Activate,Get Paid,Pay &amp; Spend,Serve &amp; Protect,Reward &amp; Retain,Use"</x:formula1>
    </x:dataValidation>
    <x:dataValidation type="list" sqref="F90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90">
      <x:formula1>"Personal,Household,Seller,Cross-platform"</x:formula1>
    </x:dataValidation>
    <x:dataValidation type="list" sqref="D91">
      <x:formula1>"Membership,PayFac,Issuing,Shared,Partner"</x:formula1>
    </x:dataValidation>
    <x:dataValidation type="list" sqref="E91">
      <x:formula1>"Attract &amp; Join,Verify &amp; Activate,Get Paid,Pay &amp; Spend,Serve &amp; Protect,Reward &amp; Retain,Use"</x:formula1>
    </x:dataValidation>
    <x:dataValidation type="list" sqref="F91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91">
      <x:formula1>"Personal,Household,Seller,Cross-platform"</x:formula1>
    </x:dataValidation>
    <x:dataValidation type="list" sqref="D92">
      <x:formula1>"Membership,PayFac,Issuing,Shared,Partner"</x:formula1>
    </x:dataValidation>
    <x:dataValidation type="list" sqref="E92">
      <x:formula1>"Attract &amp; Join,Verify &amp; Activate,Get Paid,Pay &amp; Spend,Serve &amp; Protect,Reward &amp; Retain,Use"</x:formula1>
    </x:dataValidation>
    <x:dataValidation type="list" sqref="F92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92">
      <x:formula1>"Personal,Household,Seller,Cross-platform"</x:formula1>
    </x:dataValidation>
    <x:dataValidation type="list" sqref="D93">
      <x:formula1>"Membership,PayFac,Issuing,Shared,Partner"</x:formula1>
    </x:dataValidation>
    <x:dataValidation type="list" sqref="E93">
      <x:formula1>"Attract &amp; Join,Verify &amp; Activate,Get Paid,Pay &amp; Spend,Serve &amp; Protect,Reward &amp; Retain,Use"</x:formula1>
    </x:dataValidation>
    <x:dataValidation type="list" sqref="F93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93">
      <x:formula1>"Personal,Household,Seller,Cross-platform"</x:formula1>
    </x:dataValidation>
    <x:dataValidation type="list" sqref="D94">
      <x:formula1>"Membership,PayFac,Issuing,Shared,Partner"</x:formula1>
    </x:dataValidation>
    <x:dataValidation type="list" sqref="E94">
      <x:formula1>"Attract &amp; Join,Verify &amp; Activate,Get Paid,Pay &amp; Spend,Serve &amp; Protect,Reward &amp; Retain,Use"</x:formula1>
    </x:dataValidation>
    <x:dataValidation type="list" sqref="F94">
      <x:formula1>"Vendor &amp; processing,Risk &amp; loss,Funding &amp; liquidity,Labor &amp; support,Technology &amp; data,Compliance &amp; legal,Membership benefits,Partner &amp; channel,Future cost"</x:formula1>
    </x:dataValidation>
    <x:dataValidation type="list" sqref="G94">
      <x:formula1>"Personal,Household,Seller,Cross-platform"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.200000047683716" hidden="0" customWidth="1"/>
    <x:col min="2" max="2" width="25" hidden="0" customWidth="1"/>
    <x:col min="3" max="3" width="20" hidden="0" customWidth="1"/>
    <x:col min="4" max="4" width="3" hidden="0" customWidth="1"/>
    <x:col min="5" max="5" width="20" hidden="0" customWidth="1"/>
    <x:col min="6" max="6" width="18" hidden="0" customWidth="1"/>
    <x:col min="7" max="7" width="3" hidden="0" customWidth="1"/>
    <x:col min="8" max="8" width="20" hidden="0" customWidth="1"/>
    <x:col min="9" max="9" width="18" hidden="0" customWidth="1"/>
    <x:col min="10" max="10" width="3" hidden="0" customWidth="1"/>
    <x:col min="11" max="11" width="38" hidden="0" customWidth="1"/>
  </x:cols>
  <x:sheetData>
    <x:row r="1">
      <x:c r="A1" s="448"/>
      <x:c r="B1" s="448"/>
      <x:c r="C1" s="448"/>
      <x:c r="D1" s="448"/>
      <x:c r="E1" s="448"/>
      <x:c r="F1" s="448"/>
      <x:c r="G1" s="448"/>
      <x:c r="H1" s="448"/>
      <x:c r="I1" s="448"/>
      <x:c r="J1" s="448"/>
      <x:c r="K1" s="448"/>
    </x:row>
    <x:row r="2" ht="32" customHeight="1">
      <x:c r="A2" s="448"/>
      <x:c r="B2" s="451" t="str">
        <x:v>Cost Center</x:v>
      </x:c>
      <x:c r="C2" s="451"/>
      <x:c r="D2" s="451"/>
      <x:c r="E2" s="451"/>
      <x:c r="F2" s="451"/>
      <x:c r="G2" s="451"/>
      <x:c r="H2" s="451"/>
      <x:c r="I2" s="451"/>
      <x:c r="J2" s="451"/>
      <x:c r="K2" s="451"/>
    </x:row>
    <x:row r="3" ht="24" customHeight="1">
      <x:c r="A3" s="448"/>
      <x:c r="B3" s="454" t="str">
        <x:v>Simple management view of modeled costs, completeness and contribution.</x:v>
      </x:c>
      <x:c r="C3" s="454"/>
      <x:c r="D3" s="454"/>
      <x:c r="E3" s="454"/>
      <x:c r="F3" s="454"/>
      <x:c r="G3" s="454"/>
      <x:c r="H3" s="454"/>
      <x:c r="I3" s="454"/>
      <x:c r="J3" s="454"/>
      <x:c r="K3" s="454"/>
    </x:row>
    <x:row r="4">
      <x:c r="A4" s="448"/>
      <x:c r="B4" s="448"/>
      <x:c r="C4" s="448"/>
      <x:c r="D4" s="448"/>
      <x:c r="E4" s="448"/>
      <x:c r="F4" s="448"/>
      <x:c r="G4" s="448"/>
      <x:c r="H4" s="448"/>
      <x:c r="I4" s="448"/>
      <x:c r="J4" s="448"/>
      <x:c r="K4" s="448"/>
    </x:row>
    <x:row r="5" ht="27" customHeight="1">
      <x:c r="A5" s="448"/>
      <x:c r="B5" s="448" t="str">
        <x:v>Model basis</x:v>
      </x:c>
      <x:c r="C5" s="448"/>
      <x:c r="D5" s="448"/>
      <x:c r="E5" s="448"/>
      <x:c r="F5" s="506" t="str">
        <x:v>Planning</x:v>
      </x:c>
      <x:c r="G5" s="448"/>
      <x:c r="H5" s="448" t="str">
        <x:v>Use one rate basis at a time</x:v>
      </x:c>
      <x:c r="I5" s="448"/>
      <x:c r="J5" s="448"/>
      <x:c r="K5" s="448"/>
    </x:row>
    <x:row r="6" ht="31" customHeight="1">
      <x:c r="A6" s="448"/>
      <x:c r="B6" s="456" t="str">
        <x:v>Planning uses public benchmarks and management assumptions. Contracted and Actual use only the values entered in those columns; missing rates remain visible.</x:v>
      </x:c>
      <x:c r="C6" s="456"/>
      <x:c r="D6" s="456"/>
      <x:c r="E6" s="456"/>
      <x:c r="F6" s="456"/>
      <x:c r="G6" s="456"/>
      <x:c r="H6" s="456"/>
      <x:c r="I6" s="456"/>
      <x:c r="J6" s="456"/>
      <x:c r="K6" s="456"/>
    </x:row>
    <x:row r="7">
      <x:c r="A7" s="448"/>
      <x:c r="B7" s="448"/>
      <x:c r="C7" s="448"/>
      <x:c r="D7" s="448"/>
      <x:c r="E7" s="448"/>
      <x:c r="F7" s="448"/>
      <x:c r="G7" s="448"/>
      <x:c r="H7" s="448"/>
      <x:c r="I7" s="448"/>
      <x:c r="J7" s="448"/>
      <x:c r="K7" s="448"/>
    </x:row>
    <x:row r="8" ht="24" customHeight="1">
      <x:c r="A8" s="448"/>
      <x:c r="B8" s="459" t="str">
        <x:v>Headline cost status</x:v>
      </x:c>
      <x:c r="C8" s="459"/>
      <x:c r="D8" s="459"/>
      <x:c r="E8" s="459"/>
      <x:c r="F8" s="459"/>
      <x:c r="G8" s="459"/>
      <x:c r="H8" s="459"/>
      <x:c r="I8" s="459"/>
      <x:c r="J8" s="459"/>
      <x:c r="K8" s="459"/>
    </x:row>
    <x:row r="9">
      <x:c r="A9" s="448"/>
      <x:c r="B9" s="463" t="str">
        <x:v>SELECT OPERATING COST</x:v>
      </x:c>
      <x:c r="C9" s="463"/>
      <x:c r="D9" s="463" t="str">
        <x:v>PREMIER OPERATING COST</x:v>
      </x:c>
      <x:c r="E9" s="463"/>
      <x:c r="F9" s="463" t="str">
        <x:v>COST COMPLETENESS</x:v>
      </x:c>
      <x:c r="G9" s="463"/>
      <x:c r="H9" s="463" t="str">
        <x:v>MISSING RATE LINES</x:v>
      </x:c>
      <x:c r="I9" s="463"/>
      <x:c r="J9" s="463" t="str">
        <x:v>CURRENT BASIS</x:v>
      </x:c>
      <x:c r="K9" s="463"/>
    </x:row>
    <x:row r="10">
      <x:c r="A10" s="448"/>
      <x:c r="B10" s="526" t="n">
        <x:f>F22</x:f>
        <x:v>968.8336866137948</x:v>
      </x:c>
      <x:c r="C10" s="527"/>
      <x:c r="D10" s="526" t="n">
        <x:f>I22</x:f>
        <x:v>982.6970199471282</x:v>
      </x:c>
      <x:c r="E10" s="527"/>
      <x:c r="F10" s="551" t="n">
        <x:f>F27</x:f>
        <x:v>0.5833333333333333</x:v>
      </x:c>
      <x:c r="G10" s="552"/>
      <x:c r="H10" s="576" t="n">
        <x:f>F28</x:f>
        <x:v>25</x:v>
      </x:c>
      <x:c r="I10" s="577"/>
      <x:c r="J10" s="602" t="str">
        <x:f>F5</x:f>
        <x:v>Planning</x:v>
      </x:c>
      <x:c r="K10" s="603"/>
    </x:row>
    <x:row r="11">
      <x:c r="A11" s="448"/>
      <x:c r="B11" s="528"/>
      <x:c r="C11" s="529"/>
      <x:c r="D11" s="528"/>
      <x:c r="E11" s="529"/>
      <x:c r="F11" s="553"/>
      <x:c r="G11" s="554"/>
      <x:c r="H11" s="578"/>
      <x:c r="I11" s="579"/>
      <x:c r="J11" s="604"/>
      <x:c r="K11" s="605"/>
    </x:row>
    <x:row r="12">
      <x:c r="A12" s="448"/>
      <x:c r="B12" s="530"/>
      <x:c r="C12" s="531"/>
      <x:c r="D12" s="530"/>
      <x:c r="E12" s="531"/>
      <x:c r="F12" s="555"/>
      <x:c r="G12" s="556"/>
      <x:c r="H12" s="580"/>
      <x:c r="I12" s="581"/>
      <x:c r="J12" s="606"/>
      <x:c r="K12" s="607"/>
    </x:row>
    <x:row r="13">
      <x:c r="A13" s="448"/>
      <x:c r="B13" s="448"/>
      <x:c r="C13" s="448"/>
      <x:c r="D13" s="448"/>
      <x:c r="E13" s="448"/>
      <x:c r="F13" s="448"/>
      <x:c r="G13" s="448"/>
      <x:c r="H13" s="448"/>
      <x:c r="I13" s="448"/>
      <x:c r="J13" s="448"/>
      <x:c r="K13" s="448"/>
    </x:row>
    <x:row r="14">
      <x:c r="A14" s="448"/>
      <x:c r="B14" s="448"/>
      <x:c r="C14" s="448"/>
      <x:c r="D14" s="448"/>
      <x:c r="E14" s="448"/>
      <x:c r="F14" s="448"/>
      <x:c r="G14" s="448"/>
      <x:c r="H14" s="448"/>
      <x:c r="I14" s="448"/>
      <x:c r="J14" s="448"/>
      <x:c r="K14" s="448"/>
    </x:row>
    <x:row r="15" ht="24" customHeight="1">
      <x:c r="A15" s="448"/>
      <x:c r="B15" s="459" t="str">
        <x:v>Modeled operating cost by engine</x:v>
      </x:c>
      <x:c r="C15" s="459"/>
      <x:c r="D15" s="459"/>
      <x:c r="E15" s="459"/>
      <x:c r="F15" s="459"/>
      <x:c r="G15" s="459"/>
      <x:c r="H15" s="459"/>
      <x:c r="I15" s="459"/>
      <x:c r="J15" s="459"/>
      <x:c r="K15" s="459"/>
    </x:row>
    <x:row r="16">
      <x:c r="A16" s="448"/>
      <x:c r="B16" s="463" t="str">
        <x:v>ENGINE</x:v>
      </x:c>
      <x:c r="C16" s="463"/>
      <x:c r="D16" s="463"/>
      <x:c r="E16" s="463"/>
      <x:c r="F16" s="463" t="str">
        <x:v>SELECT</x:v>
      </x:c>
      <x:c r="G16" s="463"/>
      <x:c r="H16" s="463"/>
      <x:c r="I16" s="463" t="str">
        <x:v>PREMIER</x:v>
      </x:c>
      <x:c r="J16" s="463"/>
      <x:c r="K16" s="463" t="str">
        <x:v>WHAT IT INCLUDES</x:v>
      </x:c>
    </x:row>
    <x:row r="17" ht="38" customHeight="1">
      <x:c r="A17" s="448"/>
      <x:c r="B17" s="471" t="str">
        <x:v>Membership</x:v>
      </x:c>
      <x:c r="C17" s="471"/>
      <x:c r="D17" s="471"/>
      <x:c r="E17" s="471"/>
      <x:c r="F17" s="609" t="n">
        <x:f>SUMIF('Rate Cards'!$D$8:$D$94,$B17,'Rate Cards'!$Q$8:$Q$94)</x:f>
        <x:v>45.82</x:v>
      </x:c>
      <x:c r="G17" s="609"/>
      <x:c r="H17" s="609"/>
      <x:c r="I17" s="609" t="n">
        <x:f>SUMIF('Rate Cards'!$D$8:$D$94,$B17,'Rate Cards'!$R$8:$R$94)</x:f>
        <x:v>55.6</x:v>
      </x:c>
      <x:c r="J17" s="609"/>
      <x:c r="K17" s="471" t="str">
        <x:v>Billing, member service, household servicing and membership technology.</x:v>
      </x:c>
    </x:row>
    <x:row r="18" ht="38" customHeight="1">
      <x:c r="A18" s="448"/>
      <x:c r="B18" s="465" t="str">
        <x:v>PayFac</x:v>
      </x:c>
      <x:c r="C18" s="465"/>
      <x:c r="D18" s="465"/>
      <x:c r="E18" s="465"/>
      <x:c r="F18" s="611" t="n">
        <x:f>SUMIF('Rate Cards'!$D$8:$D$94,$B18,'Rate Cards'!$Q$8:$Q$94)</x:f>
        <x:v>696.061403508772</x:v>
      </x:c>
      <x:c r="G18" s="611"/>
      <x:c r="H18" s="611"/>
      <x:c r="I18" s="611" t="n">
        <x:f>SUMIF('Rate Cards'!$D$8:$D$94,$B18,'Rate Cards'!$R$8:$R$94)</x:f>
        <x:v>698.1030701754387</x:v>
      </x:c>
      <x:c r="J18" s="611"/>
      <x:c r="K18" s="465" t="str">
        <x:v>Processor, payouts, onboarding, risk, seller support and acquiring operations.</x:v>
      </x:c>
    </x:row>
    <x:row r="19" ht="38" customHeight="1">
      <x:c r="A19" s="448"/>
      <x:c r="B19" s="471" t="str">
        <x:v>Issuing</x:v>
      </x:c>
      <x:c r="C19" s="471"/>
      <x:c r="D19" s="471"/>
      <x:c r="E19" s="471"/>
      <x:c r="F19" s="609" t="n">
        <x:f>SUMIF('Rate Cards'!$D$8:$D$94,$B19,'Rate Cards'!$Q$8:$Q$94)</x:f>
        <x:v>121.45228310502283</x:v>
      </x:c>
      <x:c r="G19" s="609"/>
      <x:c r="H19" s="609"/>
      <x:c r="I19" s="609" t="n">
        <x:f>SUMIF('Rate Cards'!$D$8:$D$94,$B19,'Rate Cards'!$R$8:$R$94)</x:f>
        <x:v>123.49394977168949</x:v>
      </x:c>
      <x:c r="J19" s="609"/>
      <x:c r="K19" s="471" t="str">
        <x:v>Processor, funding, cards, account servicing, fraud/loss and issuing operations.</x:v>
      </x:c>
    </x:row>
    <x:row r="20" ht="38" customHeight="1">
      <x:c r="A20" s="448"/>
      <x:c r="B20" s="465" t="str">
        <x:v>Shared</x:v>
      </x:c>
      <x:c r="C20" s="465"/>
      <x:c r="D20" s="465"/>
      <x:c r="E20" s="465"/>
      <x:c r="F20" s="611" t="n">
        <x:f>SUMIF('Rate Cards'!$D$8:$D$94,$B20,'Rate Cards'!$Q$8:$Q$94)</x:f>
        <x:v>105.5</x:v>
      </x:c>
      <x:c r="G20" s="611"/>
      <x:c r="H20" s="611"/>
      <x:c r="I20" s="611" t="n">
        <x:f>SUMIF('Rate Cards'!$D$8:$D$94,$B20,'Rate Cards'!$R$8:$R$94)</x:f>
        <x:v>105.5</x:v>
      </x:c>
      <x:c r="J20" s="611"/>
      <x:c r="K20" s="465" t="str">
        <x:v>Compliance, finance, data, workflow, CRM, ERP, security and shared operations.</x:v>
      </x:c>
    </x:row>
    <x:row r="21" ht="38" customHeight="1">
      <x:c r="A21" s="448"/>
      <x:c r="B21" s="471" t="str">
        <x:v>Partner</x:v>
      </x:c>
      <x:c r="C21" s="471"/>
      <x:c r="D21" s="471"/>
      <x:c r="E21" s="471"/>
      <x:c r="F21" s="609" t="n">
        <x:f>SUMIF('Rate Cards'!$D$8:$D$94,$B21,'Rate Cards'!$Q$8:$Q$94)</x:f>
        <x:v>0</x:v>
      </x:c>
      <x:c r="G21" s="609"/>
      <x:c r="H21" s="609"/>
      <x:c r="I21" s="609" t="n">
        <x:f>SUMIF('Rate Cards'!$D$8:$D$94,$B21,'Rate Cards'!$R$8:$R$94)</x:f>
        <x:v>0</x:v>
      </x:c>
      <x:c r="J21" s="609"/>
      <x:c r="K21" s="471" t="str">
        <x:v>Future referral, wholesale, co-brand and partner operating costs.</x:v>
      </x:c>
    </x:row>
    <x:row r="22" ht="38" customHeight="1">
      <x:c r="A22" s="448"/>
      <x:c r="B22" s="613" t="str">
        <x:v>Total modeled operating cost</x:v>
      </x:c>
      <x:c r="C22" s="613"/>
      <x:c r="D22" s="613"/>
      <x:c r="E22" s="613"/>
      <x:c r="F22" s="615" t="n">
        <x:f>SUM(F17:F21)</x:f>
        <x:v>968.8336866137948</x:v>
      </x:c>
      <x:c r="G22" s="615"/>
      <x:c r="H22" s="615"/>
      <x:c r="I22" s="615" t="n">
        <x:f>SUM(I17:I21)</x:f>
        <x:v>982.6970199471282</x:v>
      </x:c>
      <x:c r="J22" s="615"/>
      <x:c r="K22" s="613"/>
    </x:row>
    <x:row r="23">
      <x:c r="A23" s="448"/>
      <x:c r="B23" s="448"/>
      <x:c r="C23" s="448"/>
      <x:c r="D23" s="448"/>
      <x:c r="E23" s="448"/>
      <x:c r="F23" s="448"/>
      <x:c r="G23" s="448"/>
      <x:c r="H23" s="448"/>
      <x:c r="I23" s="448"/>
      <x:c r="J23" s="448"/>
      <x:c r="K23" s="448"/>
    </x:row>
    <x:row r="24">
      <x:c r="A24" s="448"/>
      <x:c r="B24" s="448"/>
      <x:c r="C24" s="448"/>
      <x:c r="D24" s="448"/>
      <x:c r="E24" s="448"/>
      <x:c r="F24" s="448"/>
      <x:c r="G24" s="448"/>
      <x:c r="H24" s="448"/>
      <x:c r="I24" s="448"/>
      <x:c r="J24" s="448"/>
      <x:c r="K24" s="448"/>
    </x:row>
    <x:row r="25" ht="24" customHeight="1">
      <x:c r="A25" s="448"/>
      <x:c r="B25" s="459" t="str">
        <x:v>Cost completeness</x:v>
      </x:c>
      <x:c r="C25" s="459"/>
      <x:c r="D25" s="459"/>
      <x:c r="E25" s="459"/>
      <x:c r="F25" s="459"/>
      <x:c r="G25" s="459"/>
      <x:c r="H25" s="459"/>
      <x:c r="I25" s="459"/>
      <x:c r="J25" s="459"/>
      <x:c r="K25" s="459"/>
    </x:row>
    <x:row r="26">
      <x:c r="A26" s="448"/>
      <x:c r="B26" s="465" t="str">
        <x:v>Enabled rate-card lines</x:v>
      </x:c>
      <x:c r="C26" s="465"/>
      <x:c r="D26" s="465"/>
      <x:c r="E26" s="465"/>
      <x:c r="F26" s="620" t="n">
        <x:f>COUNTIF('Rate Cards'!$S$8:$S$94,"Yes")</x:f>
        <x:v>60</x:v>
      </x:c>
      <x:c r="G26" s="620"/>
      <x:c r="H26" s="448"/>
      <x:c r="I26" s="503" t="str">
        <x:v>Cost completeness measures enabled rows with an active rate in the selected basis. It does not prove that the rate, driver or allocation is correct.</x:v>
      </x:c>
      <x:c r="J26" s="503"/>
      <x:c r="K26" s="503"/>
    </x:row>
    <x:row r="27">
      <x:c r="A27" s="448"/>
      <x:c r="B27" s="471" t="str">
        <x:v>Cost completeness</x:v>
      </x:c>
      <x:c r="C27" s="471"/>
      <x:c r="D27" s="471"/>
      <x:c r="E27" s="471"/>
      <x:c r="F27" s="621" t="n">
        <x:f>IF(F26=0,0,1-F28/F26)</x:f>
        <x:v>0.5833333333333333</x:v>
      </x:c>
      <x:c r="G27" s="621"/>
      <x:c r="H27" s="448"/>
      <x:c r="I27" s="503"/>
      <x:c r="J27" s="503"/>
      <x:c r="K27" s="503"/>
    </x:row>
    <x:row r="28">
      <x:c r="A28" s="448"/>
      <x:c r="B28" s="465" t="str">
        <x:v>Missing rate lines</x:v>
      </x:c>
      <x:c r="C28" s="465"/>
      <x:c r="D28" s="465"/>
      <x:c r="E28" s="465"/>
      <x:c r="F28" s="620" t="n">
        <x:f>COUNTIF('Rate Cards'!$T$8:$T$94,"Missing")</x:f>
        <x:v>25</x:v>
      </x:c>
      <x:c r="G28" s="620"/>
      <x:c r="H28" s="448"/>
      <x:c r="I28" s="503"/>
      <x:c r="J28" s="503"/>
      <x:c r="K28" s="503"/>
    </x:row>
    <x:row r="29">
      <x:c r="A29" s="448"/>
      <x:c r="B29" s="471" t="str">
        <x:v>Planning rate lines</x:v>
      </x:c>
      <x:c r="C29" s="471"/>
      <x:c r="D29" s="471"/>
      <x:c r="E29" s="471"/>
      <x:c r="F29" s="622" t="n">
        <x:f>COUNTIF('Rate Cards'!$T$8:$T$94,"Planning")</x:f>
        <x:v>35</x:v>
      </x:c>
      <x:c r="G29" s="622"/>
      <x:c r="H29" s="448"/>
      <x:c r="I29" s="503"/>
      <x:c r="J29" s="503"/>
      <x:c r="K29" s="503"/>
    </x:row>
    <x:row r="30">
      <x:c r="A30" s="448"/>
      <x:c r="B30" s="465" t="str">
        <x:v>Contracted rate lines</x:v>
      </x:c>
      <x:c r="C30" s="465"/>
      <x:c r="D30" s="465"/>
      <x:c r="E30" s="465"/>
      <x:c r="F30" s="620" t="n">
        <x:f>COUNTIF('Rate Cards'!$T$8:$T$94,"Contracted")</x:f>
        <x:v>0</x:v>
      </x:c>
      <x:c r="G30" s="620"/>
      <x:c r="H30" s="448"/>
      <x:c r="I30" s="503"/>
      <x:c r="J30" s="503"/>
      <x:c r="K30" s="503"/>
    </x:row>
    <x:row r="31">
      <x:c r="A31" s="448"/>
      <x:c r="B31" s="471" t="str">
        <x:v>Actual rate lines</x:v>
      </x:c>
      <x:c r="C31" s="471"/>
      <x:c r="D31" s="471"/>
      <x:c r="E31" s="471"/>
      <x:c r="F31" s="622" t="n">
        <x:f>COUNTIF('Rate Cards'!$T$8:$T$94,"Actual")</x:f>
        <x:v>0</x:v>
      </x:c>
      <x:c r="G31" s="622"/>
      <x:c r="H31" s="448"/>
      <x:c r="I31" s="503"/>
      <x:c r="J31" s="503"/>
      <x:c r="K31" s="503"/>
    </x:row>
    <x:row r="32">
      <x:c r="A32" s="448"/>
      <x:c r="B32" s="448"/>
      <x:c r="C32" s="448"/>
      <x:c r="D32" s="448"/>
      <x:c r="E32" s="448"/>
      <x:c r="F32" s="448"/>
      <x:c r="G32" s="448"/>
      <x:c r="H32" s="448"/>
      <x:c r="I32" s="448"/>
      <x:c r="J32" s="448"/>
      <x:c r="K32" s="448"/>
    </x:row>
    <x:row r="33">
      <x:c r="A33" s="448"/>
      <x:c r="B33" s="448"/>
      <x:c r="C33" s="448"/>
      <x:c r="D33" s="448"/>
      <x:c r="E33" s="448"/>
      <x:c r="F33" s="448"/>
      <x:c r="G33" s="448"/>
      <x:c r="H33" s="448"/>
      <x:c r="I33" s="448"/>
      <x:c r="J33" s="448"/>
      <x:c r="K33" s="448"/>
    </x:row>
    <x:row r="34" ht="24" customHeight="1">
      <x:c r="A34" s="448"/>
      <x:c r="B34" s="459" t="str">
        <x:v>Modeled cost by value stream</x:v>
      </x:c>
      <x:c r="C34" s="459"/>
      <x:c r="D34" s="459"/>
      <x:c r="E34" s="459"/>
      <x:c r="F34" s="459"/>
      <x:c r="G34" s="459"/>
      <x:c r="H34" s="459"/>
      <x:c r="I34" s="459"/>
      <x:c r="J34" s="459"/>
      <x:c r="K34" s="459"/>
    </x:row>
    <x:row r="35">
      <x:c r="A35" s="448"/>
      <x:c r="B35" s="463" t="str">
        <x:v>VALUE STREAM</x:v>
      </x:c>
      <x:c r="C35" s="463"/>
      <x:c r="D35" s="463"/>
      <x:c r="E35" s="463"/>
      <x:c r="F35" s="463" t="str">
        <x:v>SELECT</x:v>
      </x:c>
      <x:c r="G35" s="463"/>
      <x:c r="H35" s="463"/>
      <x:c r="I35" s="463" t="str">
        <x:v>PREMIER</x:v>
      </x:c>
      <x:c r="J35" s="463"/>
      <x:c r="K35" s="463" t="str">
        <x:v>MANAGEMENT USE</x:v>
      </x:c>
    </x:row>
    <x:row r="36" ht="38" customHeight="1">
      <x:c r="A36" s="448"/>
      <x:c r="B36" s="623" t="str">
        <x:v>Attract &amp; Join</x:v>
      </x:c>
      <x:c r="C36" s="623"/>
      <x:c r="D36" s="623"/>
      <x:c r="E36" s="623"/>
      <x:c r="F36" s="625" t="n">
        <x:f>SUMIF('Rate Cards'!$E$8:$E$94,$B36,'Rate Cards'!$Q$8:$Q$94)</x:f>
        <x:v>3.78</x:v>
      </x:c>
      <x:c r="G36" s="625"/>
      <x:c r="H36" s="625"/>
      <x:c r="I36" s="625" t="n">
        <x:f>SUMIF('Rate Cards'!$E$8:$E$94,$B36,'Rate Cards'!$R$8:$R$94)</x:f>
        <x:v>9.000000000000002</x:v>
      </x:c>
      <x:c r="J36" s="625"/>
      <x:c r="K36" s="623" t="str">
        <x:v>Acquisition, membership setup and billing.</x:v>
      </x:c>
    </x:row>
    <x:row r="37" ht="38" customHeight="1">
      <x:c r="A37" s="448"/>
      <x:c r="B37" s="626" t="str">
        <x:v>Verify &amp; Activate</x:v>
      </x:c>
      <x:c r="C37" s="626"/>
      <x:c r="D37" s="626"/>
      <x:c r="E37" s="626"/>
      <x:c r="F37" s="628" t="n">
        <x:f>SUMIF('Rate Cards'!$E$8:$E$94,$B37,'Rate Cards'!$Q$8:$Q$94)</x:f>
        <x:v>72.5</x:v>
      </x:c>
      <x:c r="G37" s="628"/>
      <x:c r="H37" s="628"/>
      <x:c r="I37" s="628" t="n">
        <x:f>SUMIF('Rate Cards'!$E$8:$E$94,$B37,'Rate Cards'!$R$8:$R$94)</x:f>
        <x:v>72.5</x:v>
      </x:c>
      <x:c r="J37" s="628"/>
      <x:c r="K37" s="626" t="str">
        <x:v>KYC/KYB, underwriting, setup and credentials.</x:v>
      </x:c>
    </x:row>
    <x:row r="38" ht="38" customHeight="1">
      <x:c r="A38" s="448"/>
      <x:c r="B38" s="623" t="str">
        <x:v>Get Paid</x:v>
      </x:c>
      <x:c r="C38" s="623"/>
      <x:c r="D38" s="623"/>
      <x:c r="E38" s="623"/>
      <x:c r="F38" s="625" t="n">
        <x:f>SUMIF('Rate Cards'!$E$8:$E$94,$B38,'Rate Cards'!$Q$8:$Q$94)</x:f>
        <x:v>580.8947368421053</x:v>
      </x:c>
      <x:c r="G38" s="625"/>
      <x:c r="H38" s="625"/>
      <x:c r="I38" s="625" t="n">
        <x:f>SUMIF('Rate Cards'!$E$8:$E$94,$B38,'Rate Cards'!$R$8:$R$94)</x:f>
        <x:v>580.8947368421053</x:v>
      </x:c>
      <x:c r="J38" s="625"/>
      <x:c r="K38" s="623" t="str">
        <x:v>Payment processing, payouts, risk and finance operations.</x:v>
      </x:c>
    </x:row>
    <x:row r="39" ht="38" customHeight="1">
      <x:c r="A39" s="448"/>
      <x:c r="B39" s="626" t="str">
        <x:v>Pay &amp; Spend</x:v>
      </x:c>
      <x:c r="C39" s="626"/>
      <x:c r="D39" s="626"/>
      <x:c r="E39" s="626"/>
      <x:c r="F39" s="628" t="n">
        <x:f>SUMIF('Rate Cards'!$E$8:$E$94,$B39,'Rate Cards'!$Q$8:$Q$94)</x:f>
        <x:v>83.83561643835615</x:v>
      </x:c>
      <x:c r="G39" s="628"/>
      <x:c r="H39" s="628"/>
      <x:c r="I39" s="628" t="n">
        <x:f>SUMIF('Rate Cards'!$E$8:$E$94,$B39,'Rate Cards'!$R$8:$R$94)</x:f>
        <x:v>83.83561643835615</x:v>
      </x:c>
      <x:c r="J39" s="628"/>
      <x:c r="K39" s="626" t="str">
        <x:v>Issuing processing, funding, accounts and controls.</x:v>
      </x:c>
    </x:row>
    <x:row r="40" ht="38" customHeight="1">
      <x:c r="A40" s="448"/>
      <x:c r="B40" s="623" t="str">
        <x:v>Serve &amp; Protect</x:v>
      </x:c>
      <x:c r="C40" s="623"/>
      <x:c r="D40" s="623"/>
      <x:c r="E40" s="623"/>
      <x:c r="F40" s="625" t="n">
        <x:f>SUMIF('Rate Cards'!$E$8:$E$94,$B40,'Rate Cards'!$Q$8:$Q$94)</x:f>
        <x:v>191.78333333333336</x:v>
      </x:c>
      <x:c r="G40" s="625"/>
      <x:c r="H40" s="625"/>
      <x:c r="I40" s="625" t="n">
        <x:f>SUMIF('Rate Cards'!$E$8:$E$94,$B40,'Rate Cards'!$R$8:$R$94)</x:f>
        <x:v>197.36666666666667</x:v>
      </x:c>
      <x:c r="J40" s="625"/>
      <x:c r="K40" s="623" t="str">
        <x:v>Support, disputes, complaints, monitoring and compliance.</x:v>
      </x:c>
    </x:row>
    <x:row r="41" ht="38" customHeight="1">
      <x:c r="A41" s="448"/>
      <x:c r="B41" s="626" t="str">
        <x:v>Reward &amp; Retain</x:v>
      </x:c>
      <x:c r="C41" s="626"/>
      <x:c r="D41" s="626"/>
      <x:c r="E41" s="626"/>
      <x:c r="F41" s="628" t="n">
        <x:f>SUMIF('Rate Cards'!$E$8:$E$94,$B41,'Rate Cards'!$Q$8:$Q$94)</x:f>
        <x:v>6.04</x:v>
      </x:c>
      <x:c r="G41" s="628"/>
      <x:c r="H41" s="628"/>
      <x:c r="I41" s="628" t="n">
        <x:f>SUMIF('Rate Cards'!$E$8:$E$94,$B41,'Rate Cards'!$R$8:$R$94)</x:f>
        <x:v>9.1</x:v>
      </x:c>
      <x:c r="J41" s="628"/>
      <x:c r="K41" s="626" t="str">
        <x:v>Rewards, renewal and value communication.</x:v>
      </x:c>
    </x:row>
    <x:row r="42" ht="38" customHeight="1">
      <x:c r="A42" s="448"/>
      <x:c r="B42" s="623" t="str">
        <x:v>Use</x:v>
      </x:c>
      <x:c r="C42" s="623"/>
      <x:c r="D42" s="623"/>
      <x:c r="E42" s="623"/>
      <x:c r="F42" s="625" t="n">
        <x:f>SUMIF('Rate Cards'!$E$8:$E$94,$B42,'Rate Cards'!$Q$8:$Q$94)</x:f>
        <x:v>30</x:v>
      </x:c>
      <x:c r="G42" s="625"/>
      <x:c r="H42" s="625"/>
      <x:c r="I42" s="625" t="n">
        <x:f>SUMIF('Rate Cards'!$E$8:$E$94,$B42,'Rate Cards'!$R$8:$R$94)</x:f>
        <x:v>30</x:v>
      </x:c>
      <x:c r="J42" s="625"/>
      <x:c r="K42" s="623" t="str">
        <x:v>Ongoing platform, data and technology operations.</x:v>
      </x:c>
    </x:row>
    <x:row r="43">
      <x:c r="A43" s="448"/>
      <x:c r="B43" s="448"/>
      <x:c r="C43" s="448"/>
      <x:c r="D43" s="448"/>
      <x:c r="E43" s="448"/>
      <x:c r="F43" s="448"/>
      <x:c r="G43" s="448"/>
      <x:c r="H43" s="448"/>
      <x:c r="I43" s="448"/>
      <x:c r="J43" s="448"/>
      <x:c r="K43" s="448"/>
    </x:row>
    <x:row r="44">
      <x:c r="A44" s="448"/>
      <x:c r="B44" s="448"/>
      <x:c r="C44" s="448"/>
      <x:c r="D44" s="448"/>
      <x:c r="E44" s="448"/>
      <x:c r="F44" s="448"/>
      <x:c r="G44" s="448"/>
      <x:c r="H44" s="448"/>
      <x:c r="I44" s="448"/>
      <x:c r="J44" s="448"/>
      <x:c r="K44" s="448"/>
    </x:row>
    <x:row r="45">
      <x:c r="A45" s="448"/>
      <x:c r="B45" s="448"/>
      <x:c r="C45" s="448"/>
      <x:c r="D45" s="448"/>
      <x:c r="E45" s="448"/>
      <x:c r="F45" s="448"/>
      <x:c r="G45" s="448"/>
      <x:c r="H45" s="448"/>
      <x:c r="I45" s="448"/>
      <x:c r="J45" s="448"/>
      <x:c r="K45" s="448"/>
    </x:row>
    <x:row r="46" ht="24" customHeight="1">
      <x:c r="A46" s="448"/>
      <x:c r="B46" s="459" t="str">
        <x:v>Modeled cost by cost group</x:v>
      </x:c>
      <x:c r="C46" s="459"/>
      <x:c r="D46" s="459"/>
      <x:c r="E46" s="459"/>
      <x:c r="F46" s="459"/>
      <x:c r="G46" s="459"/>
      <x:c r="H46" s="459"/>
      <x:c r="I46" s="459"/>
      <x:c r="J46" s="459"/>
      <x:c r="K46" s="459"/>
    </x:row>
    <x:row r="47">
      <x:c r="A47" s="448"/>
      <x:c r="B47" s="463" t="str">
        <x:v>COST GROUP</x:v>
      </x:c>
      <x:c r="C47" s="463"/>
      <x:c r="D47" s="463"/>
      <x:c r="E47" s="463"/>
      <x:c r="F47" s="463" t="str">
        <x:v>SELECT</x:v>
      </x:c>
      <x:c r="G47" s="463"/>
      <x:c r="H47" s="463"/>
      <x:c r="I47" s="463" t="str">
        <x:v>PREMIER</x:v>
      </x:c>
      <x:c r="J47" s="463"/>
      <x:c r="K47" s="463" t="str">
        <x:v>EXAMPLE COSTS</x:v>
      </x:c>
    </x:row>
    <x:row r="48" ht="38" customHeight="1">
      <x:c r="A48" s="448"/>
      <x:c r="B48" s="623" t="str">
        <x:v>Vendor &amp; processing</x:v>
      </x:c>
      <x:c r="C48" s="623"/>
      <x:c r="D48" s="623"/>
      <x:c r="E48" s="623"/>
      <x:c r="F48" s="625" t="n">
        <x:f>SUMIF('Rate Cards'!$F$8:$F$94,$B48,'Rate Cards'!$Q$8:$Q$94)</x:f>
        <x:v>570.5647368421054</x:v>
      </x:c>
      <x:c r="G48" s="625"/>
      <x:c r="H48" s="625"/>
      <x:c r="I48" s="625" t="n">
        <x:f>SUMIF('Rate Cards'!$F$8:$F$94,$B48,'Rate Cards'!$R$8:$R$94)</x:f>
        <x:v>577.0447368421054</x:v>
      </x:c>
      <x:c r="J48" s="625"/>
      <x:c r="K48" s="623" t="str">
        <x:v>Processors, payouts, cards, accounts, tokens and billing.</x:v>
      </x:c>
    </x:row>
    <x:row r="49" ht="38" customHeight="1">
      <x:c r="A49" s="448"/>
      <x:c r="B49" s="626" t="str">
        <x:v>Risk &amp; loss</x:v>
      </x:c>
      <x:c r="C49" s="626"/>
      <x:c r="D49" s="626"/>
      <x:c r="E49" s="626"/>
      <x:c r="F49" s="628" t="n">
        <x:f>SUMIF('Rate Cards'!$F$8:$F$94,$B49,'Rate Cards'!$Q$8:$Q$94)</x:f>
        <x:v>84.8</x:v>
      </x:c>
      <x:c r="G49" s="628"/>
      <x:c r="H49" s="628"/>
      <x:c r="I49" s="628" t="n">
        <x:f>SUMIF('Rate Cards'!$F$8:$F$94,$B49,'Rate Cards'!$R$8:$R$94)</x:f>
        <x:v>84.8</x:v>
      </x:c>
      <x:c r="J49" s="628"/>
      <x:c r="K49" s="626" t="str">
        <x:v>Seller losses, fraud losses and credit losses.</x:v>
      </x:c>
    </x:row>
    <x:row r="50" ht="38" customHeight="1">
      <x:c r="A50" s="448"/>
      <x:c r="B50" s="623" t="str">
        <x:v>Funding &amp; liquidity</x:v>
      </x:c>
      <x:c r="C50" s="623"/>
      <x:c r="D50" s="623"/>
      <x:c r="E50" s="623"/>
      <x:c r="F50" s="625" t="n">
        <x:f>SUMIF('Rate Cards'!$F$8:$F$94,$B50,'Rate Cards'!$Q$8:$Q$94)</x:f>
        <x:v>11.835616438356164</x:v>
      </x:c>
      <x:c r="G50" s="625"/>
      <x:c r="H50" s="625"/>
      <x:c r="I50" s="625" t="n">
        <x:f>SUMIF('Rate Cards'!$F$8:$F$94,$B50,'Rate Cards'!$R$8:$R$94)</x:f>
        <x:v>11.835616438356164</x:v>
      </x:c>
      <x:c r="J50" s="625"/>
      <x:c r="K50" s="623" t="str">
        <x:v>Funding days, reserves and collateral costs.</x:v>
      </x:c>
    </x:row>
    <x:row r="51" ht="38" customHeight="1">
      <x:c r="A51" s="448"/>
      <x:c r="B51" s="626" t="str">
        <x:v>Labor &amp; support</x:v>
      </x:c>
      <x:c r="C51" s="626"/>
      <x:c r="D51" s="626"/>
      <x:c r="E51" s="626"/>
      <x:c r="F51" s="628" t="n">
        <x:f>SUMIF('Rate Cards'!$F$8:$F$94,$B51,'Rate Cards'!$Q$8:$Q$94)</x:f>
        <x:v>192.23333333333332</x:v>
      </x:c>
      <x:c r="G51" s="628"/>
      <x:c r="H51" s="628"/>
      <x:c r="I51" s="628" t="n">
        <x:f>SUMIF('Rate Cards'!$F$8:$F$94,$B51,'Rate Cards'!$R$8:$R$94)</x:f>
        <x:v>197.8166666666667</x:v>
      </x:c>
      <x:c r="J51" s="628"/>
      <x:c r="K51" s="626" t="str">
        <x:v>Onboarding, service, refunds, disputes and reconciliation.</x:v>
      </x:c>
    </x:row>
    <x:row r="52" ht="38" customHeight="1">
      <x:c r="A52" s="448"/>
      <x:c r="B52" s="623" t="str">
        <x:v>Technology &amp; data</x:v>
      </x:c>
      <x:c r="C52" s="623"/>
      <x:c r="D52" s="623"/>
      <x:c r="E52" s="623"/>
      <x:c r="F52" s="625" t="n">
        <x:f>SUMIF('Rate Cards'!$F$8:$F$94,$B52,'Rate Cards'!$Q$8:$Q$94)</x:f>
        <x:v>34.2</x:v>
      </x:c>
      <x:c r="G52" s="625"/>
      <x:c r="H52" s="625"/>
      <x:c r="I52" s="625" t="n">
        <x:f>SUMIF('Rate Cards'!$F$8:$F$94,$B52,'Rate Cards'!$R$8:$R$94)</x:f>
        <x:v>34.2</x:v>
      </x:c>
      <x:c r="J52" s="625"/>
      <x:c r="K52" s="623" t="str">
        <x:v>Cloud, reporting, CRM, workflow and ERP systems.</x:v>
      </x:c>
    </x:row>
    <x:row r="53" ht="38" customHeight="1">
      <x:c r="A53" s="448"/>
      <x:c r="B53" s="626" t="str">
        <x:v>Compliance &amp; legal</x:v>
      </x:c>
      <x:c r="C53" s="626"/>
      <x:c r="D53" s="626"/>
      <x:c r="E53" s="626"/>
      <x:c r="F53" s="628" t="n">
        <x:f>SUMIF('Rate Cards'!$F$8:$F$94,$B53,'Rate Cards'!$Q$8:$Q$94)</x:f>
        <x:v>74</x:v>
      </x:c>
      <x:c r="G53" s="628"/>
      <x:c r="H53" s="628"/>
      <x:c r="I53" s="628" t="n">
        <x:f>SUMIF('Rate Cards'!$F$8:$F$94,$B53,'Rate Cards'!$R$8:$R$94)</x:f>
        <x:v>74</x:v>
      </x:c>
      <x:c r="J53" s="628"/>
      <x:c r="K53" s="626" t="str">
        <x:v>KYC/KYB, monitoring, legal, audit and licensing.</x:v>
      </x:c>
    </x:row>
    <x:row r="54" ht="38" customHeight="1">
      <x:c r="A54" s="448"/>
      <x:c r="B54" s="623" t="str">
        <x:v>Membership benefits</x:v>
      </x:c>
      <x:c r="C54" s="623"/>
      <x:c r="D54" s="623"/>
      <x:c r="E54" s="623"/>
      <x:c r="F54" s="625" t="n">
        <x:f>SUMIF('Rate Cards'!$F$8:$F$94,$B54,'Rate Cards'!$Q$8:$Q$94)</x:f>
        <x:v>1.2</x:v>
      </x:c>
      <x:c r="G54" s="625"/>
      <x:c r="H54" s="625"/>
      <x:c r="I54" s="625" t="n">
        <x:f>SUMIF('Rate Cards'!$F$8:$F$94,$B54,'Rate Cards'!$R$8:$R$94)</x:f>
        <x:v>3</x:v>
      </x:c>
      <x:c r="J54" s="625"/>
      <x:c r="K54" s="623" t="str">
        <x:v>Refund reserve and customer-value delivery.</x:v>
      </x:c>
    </x:row>
    <x:row r="55" ht="38" customHeight="1">
      <x:c r="A55" s="448"/>
      <x:c r="B55" s="626" t="str">
        <x:v>Partner &amp; channel</x:v>
      </x:c>
      <x:c r="C55" s="626"/>
      <x:c r="D55" s="626"/>
      <x:c r="E55" s="626"/>
      <x:c r="F55" s="628" t="n">
        <x:f>SUMIF('Rate Cards'!$F$8:$F$94,$B55,'Rate Cards'!$Q$8:$Q$94)</x:f>
        <x:v>0</x:v>
      </x:c>
      <x:c r="G55" s="628"/>
      <x:c r="H55" s="628"/>
      <x:c r="I55" s="628" t="n">
        <x:f>SUMIF('Rate Cards'!$F$8:$F$94,$B55,'Rate Cards'!$R$8:$R$94)</x:f>
        <x:v>0</x:v>
      </x:c>
      <x:c r="J55" s="628"/>
      <x:c r="K55" s="626" t="str">
        <x:v>Referral, reseller, co-brand and wholesale-program costs.</x:v>
      </x:c>
    </x:row>
    <x:row r="56" ht="38" customHeight="1">
      <x:c r="A56" s="448"/>
      <x:c r="B56" s="623" t="str">
        <x:v>Future cost</x:v>
      </x:c>
      <x:c r="C56" s="623"/>
      <x:c r="D56" s="623"/>
      <x:c r="E56" s="623"/>
      <x:c r="F56" s="625" t="n">
        <x:f>SUMIF('Rate Cards'!$F$8:$F$94,$B56,'Rate Cards'!$Q$8:$Q$94)</x:f>
        <x:v>0</x:v>
      </x:c>
      <x:c r="G56" s="625"/>
      <x:c r="H56" s="625"/>
      <x:c r="I56" s="625" t="n">
        <x:f>SUMIF('Rate Cards'!$F$8:$F$94,$B56,'Rate Cards'!$R$8:$R$94)</x:f>
        <x:v>0</x:v>
      </x:c>
      <x:c r="J56" s="625"/>
      <x:c r="K56" s="623" t="str">
        <x:v>Pre-built blank lines for later additions.</x:v>
      </x:c>
    </x:row>
    <x:row r="57">
      <x:c r="A57" s="448"/>
      <x:c r="B57" s="448"/>
      <x:c r="C57" s="448"/>
      <x:c r="D57" s="448"/>
      <x:c r="E57" s="448"/>
      <x:c r="F57" s="448"/>
      <x:c r="G57" s="448"/>
      <x:c r="H57" s="448"/>
      <x:c r="I57" s="448"/>
      <x:c r="J57" s="448"/>
      <x:c r="K57" s="448"/>
    </x:row>
    <x:row r="58">
      <x:c r="A58" s="448"/>
      <x:c r="B58" s="448"/>
      <x:c r="C58" s="448"/>
      <x:c r="D58" s="448"/>
      <x:c r="E58" s="448"/>
      <x:c r="F58" s="448"/>
      <x:c r="G58" s="448"/>
      <x:c r="H58" s="448"/>
      <x:c r="I58" s="448"/>
      <x:c r="J58" s="448"/>
      <x:c r="K58" s="448"/>
    </x:row>
    <x:row r="59">
      <x:c r="A59" s="448"/>
      <x:c r="B59" s="448"/>
      <x:c r="C59" s="448"/>
      <x:c r="D59" s="448"/>
      <x:c r="E59" s="448"/>
      <x:c r="F59" s="448"/>
      <x:c r="G59" s="448"/>
      <x:c r="H59" s="448"/>
      <x:c r="I59" s="448"/>
      <x:c r="J59" s="448"/>
      <x:c r="K59" s="448"/>
    </x:row>
    <x:row r="60" ht="24" customHeight="1">
      <x:c r="A60" s="448"/>
      <x:c r="B60" s="459" t="str">
        <x:v>Modeled cost by organizational cost center</x:v>
      </x:c>
      <x:c r="C60" s="459"/>
      <x:c r="D60" s="459"/>
      <x:c r="E60" s="459"/>
      <x:c r="F60" s="459"/>
      <x:c r="G60" s="459"/>
      <x:c r="H60" s="459"/>
      <x:c r="I60" s="459"/>
      <x:c r="J60" s="459"/>
      <x:c r="K60" s="459"/>
    </x:row>
    <x:row r="61">
      <x:c r="A61" s="448"/>
      <x:c r="B61" s="463" t="str">
        <x:v>COST CENTER</x:v>
      </x:c>
      <x:c r="C61" s="463"/>
      <x:c r="D61" s="463"/>
      <x:c r="E61" s="463"/>
      <x:c r="F61" s="463" t="str">
        <x:v>SELECT</x:v>
      </x:c>
      <x:c r="G61" s="463"/>
      <x:c r="H61" s="463"/>
      <x:c r="I61" s="463" t="str">
        <x:v>PREMIER</x:v>
      </x:c>
      <x:c r="J61" s="463"/>
      <x:c r="K61" s="463" t="str">
        <x:v>ACCOUNTABILITY</x:v>
      </x:c>
    </x:row>
    <x:row r="62" ht="38" customHeight="1">
      <x:c r="A62" s="448"/>
      <x:c r="B62" s="631" t="str">
        <x:v>Membership Ops</x:v>
      </x:c>
      <x:c r="C62" s="631"/>
      <x:c r="D62" s="631"/>
      <x:c r="E62" s="631"/>
      <x:c r="F62" s="633" t="n">
        <x:f>SUMIF('Rate Cards'!$C$8:$C$94,$B62,'Rate Cards'!$Q$8:$Q$94)</x:f>
        <x:v>5.82</x:v>
      </x:c>
      <x:c r="G62" s="633"/>
      <x:c r="H62" s="633"/>
      <x:c r="I62" s="633" t="n">
        <x:f>SUMIF('Rate Cards'!$C$8:$C$94,$B62,'Rate Cards'!$R$8:$R$94)</x:f>
        <x:v>14.100000000000001</x:v>
      </x:c>
      <x:c r="J62" s="633"/>
      <x:c r="K62" s="631" t="str">
        <x:v>Membership billing, benefits, policies and renewal.</x:v>
      </x:c>
    </x:row>
    <x:row r="63" ht="38" customHeight="1">
      <x:c r="A63" s="448"/>
      <x:c r="B63" s="636" t="str">
        <x:v>Growth &amp; Retention</x:v>
      </x:c>
      <x:c r="C63" s="636"/>
      <x:c r="D63" s="636"/>
      <x:c r="E63" s="636"/>
      <x:c r="F63" s="638" t="n">
        <x:f>SUMIF('Rate Cards'!$C$8:$C$94,$B63,'Rate Cards'!$Q$8:$Q$94)</x:f>
        <x:v>1</x:v>
      </x:c>
      <x:c r="G63" s="638"/>
      <x:c r="H63" s="638"/>
      <x:c r="I63" s="638" t="n">
        <x:f>SUMIF('Rate Cards'!$C$8:$C$94,$B63,'Rate Cards'!$R$8:$R$94)</x:f>
        <x:v>1</x:v>
      </x:c>
      <x:c r="J63" s="638"/>
      <x:c r="K63" s="636" t="str">
        <x:v>Acquisition, lifecycle communication and renewal programs.</x:v>
      </x:c>
    </x:row>
    <x:row r="64" ht="38" customHeight="1">
      <x:c r="A64" s="448"/>
      <x:c r="B64" s="631" t="str">
        <x:v>Seller Ops &amp; Risk</x:v>
      </x:c>
      <x:c r="C64" s="631"/>
      <x:c r="D64" s="631"/>
      <x:c r="E64" s="631"/>
      <x:c r="F64" s="633" t="n">
        <x:f>SUMIF('Rate Cards'!$C$8:$C$94,$B64,'Rate Cards'!$Q$8:$Q$94)</x:f>
        <x:v>687.8947368421053</x:v>
      </x:c>
      <x:c r="G64" s="633"/>
      <x:c r="H64" s="633"/>
      <x:c r="I64" s="633" t="n">
        <x:f>SUMIF('Rate Cards'!$C$8:$C$94,$B64,'Rate Cards'!$R$8:$R$94)</x:f>
        <x:v>687.8947368421053</x:v>
      </x:c>
      <x:c r="J64" s="633"/>
      <x:c r="K64" s="631" t="str">
        <x:v>Seller onboarding, payment operations, disputes and losses.</x:v>
      </x:c>
    </x:row>
    <x:row r="65" ht="38" customHeight="1">
      <x:c r="A65" s="448"/>
      <x:c r="B65" s="636" t="str">
        <x:v>Issuing Ops &amp; Risk</x:v>
      </x:c>
      <x:c r="C65" s="636"/>
      <x:c r="D65" s="636"/>
      <x:c r="E65" s="636"/>
      <x:c r="F65" s="638" t="n">
        <x:f>SUMIF('Rate Cards'!$C$8:$C$94,$B65,'Rate Cards'!$Q$8:$Q$94)</x:f>
        <x:v>101.28561643835616</x:v>
      </x:c>
      <x:c r="G65" s="638"/>
      <x:c r="H65" s="638"/>
      <x:c r="I65" s="638" t="n">
        <x:f>SUMIF('Rate Cards'!$C$8:$C$94,$B65,'Rate Cards'!$R$8:$R$94)</x:f>
        <x:v>101.28561643835616</x:v>
      </x:c>
      <x:c r="J65" s="638"/>
      <x:c r="K65" s="636" t="str">
        <x:v>Spending-account operations, funding, fraud, cards and servicing.</x:v>
      </x:c>
    </x:row>
    <x:row r="66" ht="38" customHeight="1">
      <x:c r="A66" s="448"/>
      <x:c r="B66" s="631" t="str">
        <x:v>Customer Service</x:v>
      </x:c>
      <x:c r="C66" s="631"/>
      <x:c r="D66" s="631"/>
      <x:c r="E66" s="631"/>
      <x:c r="F66" s="633" t="n">
        <x:f>SUMIF('Rate Cards'!$C$8:$C$94,$B66,'Rate Cards'!$Q$8:$Q$94)</x:f>
        <x:v>37.83333333333333</x:v>
      </x:c>
      <x:c r="G66" s="633"/>
      <x:c r="H66" s="633"/>
      <x:c r="I66" s="633" t="n">
        <x:f>SUMIF('Rate Cards'!$C$8:$C$94,$B66,'Rate Cards'!$R$8:$R$94)</x:f>
        <x:v>43.41666666666667</x:v>
      </x:c>
      <x:c r="J66" s="633"/>
      <x:c r="K66" s="631" t="str">
        <x:v>Member, household, Seller and issuing support.</x:v>
      </x:c>
    </x:row>
    <x:row r="67" ht="38" customHeight="1">
      <x:c r="A67" s="448"/>
      <x:c r="B67" s="726" t="str">
        <x:v>Technology &amp; Data</x:v>
      </x:c>
      <x:c r="C67" s="726"/>
      <x:c r="D67" s="726"/>
      <x:c r="E67" s="726"/>
      <x:c r="F67" s="734" t="n">
        <x:f>SUMIF('Rate Cards'!$C$8:$C$94,$B67,'Rate Cards'!$Q$8:$Q$94)</x:f>
        <x:v>33</x:v>
      </x:c>
      <x:c r="G67" s="734"/>
      <x:c r="H67" s="734"/>
      <x:c r="I67" s="734" t="n">
        <x:f>SUMIF('Rate Cards'!$C$8:$C$94,$B67,'Rate Cards'!$R$8:$R$94)</x:f>
        <x:v>33</x:v>
      </x:c>
      <x:c r="J67" s="734"/>
      <x:c r="K67" s="726" t="str">
        <x:v>Cloud, data, CRM, workflow, ERP and platform systems.</x:v>
      </x:c>
    </x:row>
    <x:row r="68" ht="38" customHeight="1">
      <x:c r="A68" s="448"/>
      <x:c r="B68" s="465" t="str">
        <x:v>Compliance &amp; Finance</x:v>
      </x:c>
      <x:c r="C68" s="465"/>
      <x:c r="D68" s="465"/>
      <x:c r="E68" s="465"/>
      <x:c r="F68" s="611" t="n">
        <x:f>SUMIF('Rate Cards'!$C$8:$C$94,$B68,'Rate Cards'!$Q$8:$Q$94)</x:f>
        <x:v>102</x:v>
      </x:c>
      <x:c r="G68" s="611"/>
      <x:c r="H68" s="611"/>
      <x:c r="I68" s="611" t="n">
        <x:f>SUMIF('Rate Cards'!$C$8:$C$94,$B68,'Rate Cards'!$R$8:$R$94)</x:f>
        <x:v>102</x:v>
      </x:c>
      <x:c r="J68" s="611"/>
      <x:c r="K68" s="465" t="str">
        <x:v>KYC/KYB, monitoring, legal, finance, treasury and regulatory activity.</x:v>
      </x:c>
    </x:row>
    <x:row r="69" ht="38" customHeight="1">
      <x:c r="A69" s="448"/>
      <x:c r="B69" s="471" t="str">
        <x:v>Partner &amp; Channel</x:v>
      </x:c>
      <x:c r="C69" s="471"/>
      <x:c r="D69" s="471"/>
      <x:c r="E69" s="471"/>
      <x:c r="F69" s="609" t="n">
        <x:f>SUMIF('Rate Cards'!$C$8:$C$94,$B69,'Rate Cards'!$Q$8:$Q$94)</x:f>
        <x:v>0</x:v>
      </x:c>
      <x:c r="G69" s="609"/>
      <x:c r="H69" s="609"/>
      <x:c r="I69" s="609" t="n">
        <x:f>SUMIF('Rate Cards'!$C$8:$C$94,$B69,'Rate Cards'!$R$8:$R$94)</x:f>
        <x:v>0</x:v>
      </x:c>
      <x:c r="J69" s="609"/>
      <x:c r="K69" s="471" t="str">
        <x:v>Referral, reseller, co-brand and wholesale-partner costs.</x:v>
      </x:c>
    </x:row>
    <x:row r="70" ht="38" customHeight="1">
      <x:c r="A70" s="448"/>
      <x:c r="B70" s="465" t="str">
        <x:v>Future</x:v>
      </x:c>
      <x:c r="C70" s="465"/>
      <x:c r="D70" s="465"/>
      <x:c r="E70" s="465"/>
      <x:c r="F70" s="611" t="n">
        <x:f>SUMIF('Rate Cards'!$C$8:$C$94,$B70,'Rate Cards'!$Q$8:$Q$94)</x:f>
        <x:v>0</x:v>
      </x:c>
      <x:c r="G70" s="611"/>
      <x:c r="H70" s="611"/>
      <x:c r="I70" s="611" t="n">
        <x:f>SUMIF('Rate Cards'!$C$8:$C$94,$B70,'Rate Cards'!$R$8:$R$94)</x:f>
        <x:v>0</x:v>
      </x:c>
      <x:c r="J70" s="611"/>
      <x:c r="K70" s="465" t="str">
        <x:v>Pre-built future cost elements.</x:v>
      </x:c>
    </x:row>
    <x:row r="71">
      <x:c r="A71" s="448"/>
      <x:c r="B71" s="448"/>
      <x:c r="C71" s="448"/>
      <x:c r="D71" s="448"/>
      <x:c r="E71" s="448"/>
      <x:c r="F71" s="448"/>
      <x:c r="G71" s="448"/>
      <x:c r="H71" s="448"/>
      <x:c r="I71" s="448"/>
      <x:c r="J71" s="448"/>
      <x:c r="K71" s="448"/>
    </x:row>
    <x:row r="72" ht="38" customHeight="1">
      <x:c r="A72" s="448"/>
      <x:c r="B72" s="699"/>
      <x:c r="C72" s="699"/>
      <x:c r="D72" s="699"/>
      <x:c r="E72" s="699"/>
      <x:c r="F72" s="699"/>
      <x:c r="G72" s="699"/>
      <x:c r="H72" s="699"/>
      <x:c r="I72" s="699"/>
      <x:c r="J72" s="699"/>
      <x:c r="K72" s="699"/>
    </x:row>
    <x:row r="73">
      <x:c r="A73" s="448"/>
      <x:c r="B73" s="459" t="str">
        <x:v>Economic bridge after modeled costs</x:v>
      </x:c>
      <x:c r="C73" s="459"/>
      <x:c r="D73" s="459"/>
      <x:c r="E73" s="459"/>
      <x:c r="F73" s="459"/>
      <x:c r="G73" s="459"/>
      <x:c r="H73" s="459"/>
      <x:c r="I73" s="459"/>
      <x:c r="J73" s="459"/>
      <x:c r="K73" s="459"/>
    </x:row>
    <x:row r="74">
      <x:c r="A74" s="448"/>
      <x:c r="B74" s="463" t="str">
        <x:v>YEARLY AMOUNT • USD</x:v>
      </x:c>
      <x:c r="C74" s="463"/>
      <x:c r="D74" s="463"/>
      <x:c r="E74" s="463"/>
      <x:c r="F74" s="463" t="str">
        <x:v>SELECT</x:v>
      </x:c>
      <x:c r="G74" s="463"/>
      <x:c r="H74" s="463"/>
      <x:c r="I74" s="463" t="str">
        <x:v>PREMIER</x:v>
      </x:c>
      <x:c r="J74" s="463"/>
      <x:c r="K74" s="463" t="str">
        <x:v>MEANING</x:v>
      </x:c>
    </x:row>
    <x:row r="75" ht="38" customHeight="1">
      <x:c r="A75" s="448"/>
      <x:c r="B75" s="636" t="str">
        <x:v>Membership income</x:v>
      </x:c>
      <x:c r="C75" s="636"/>
      <x:c r="D75" s="636"/>
      <x:c r="E75" s="636"/>
      <x:c r="F75" s="638" t="n">
        <x:f>'Inputs'!F9</x:f>
        <x:v>120</x:v>
      </x:c>
      <x:c r="G75" s="638"/>
      <x:c r="H75" s="638"/>
      <x:c r="I75" s="638" t="n">
        <x:f>'Inputs'!I9</x:f>
        <x:v>300</x:v>
      </x:c>
      <x:c r="J75" s="638"/>
      <x:c r="K75" s="636" t="str">
        <x:v>Customer membership fee.</x:v>
      </x:c>
    </x:row>
    <x:row r="76" ht="38" customHeight="1">
      <x:c r="A76" s="448"/>
      <x:c r="B76" s="631" t="str">
        <x:v>Processing revenue after card-brand cost</x:v>
      </x:c>
      <x:c r="C76" s="631"/>
      <x:c r="D76" s="631"/>
      <x:c r="E76" s="631"/>
      <x:c r="F76" s="633" t="n">
        <x:f>'Model Engine'!F11-'Model Engine'!F10</x:f>
        <x:v>1300</x:v>
      </x:c>
      <x:c r="G76" s="633"/>
      <x:c r="H76" s="633"/>
      <x:c r="I76" s="633" t="n">
        <x:f>'Model Engine'!F13-'Model Engine'!F10</x:f>
        <x:v>800</x:v>
      </x:c>
      <x:c r="J76" s="633"/>
      <x:c r="K76" s="631" t="str">
        <x:v>Company revenue pool before PayFac operating costs.</x:v>
      </x:c>
    </x:row>
    <x:row r="77" ht="38" customHeight="1">
      <x:c r="A77" s="448"/>
      <x:c r="B77" s="636" t="str">
        <x:v>Issuer income paid to us</x:v>
      </x:c>
      <x:c r="C77" s="636"/>
      <x:c r="D77" s="636"/>
      <x:c r="E77" s="636"/>
      <x:c r="F77" s="638" t="n">
        <x:f>'Model Engine'!F32</x:f>
        <x:v>336</x:v>
      </x:c>
      <x:c r="G77" s="638"/>
      <x:c r="H77" s="638"/>
      <x:c r="I77" s="638" t="n">
        <x:f>'Model Engine'!F32</x:f>
        <x:v>336</x:v>
      </x:c>
      <x:c r="J77" s="638"/>
      <x:c r="K77" s="636" t="str">
        <x:v>Net issuer remittance under the modeled agreement.</x:v>
      </x:c>
    </x:row>
    <x:row r="78" ht="38" customHeight="1">
      <x:c r="A78" s="448"/>
      <x:c r="B78" s="631" t="str">
        <x:v>Less customer rewards</x:v>
      </x:c>
      <x:c r="C78" s="631"/>
      <x:c r="D78" s="631"/>
      <x:c r="E78" s="631"/>
      <x:c r="F78" s="633" t="n">
        <x:f>-'Model Engine'!F14</x:f>
        <x:v>-120</x:v>
      </x:c>
      <x:c r="G78" s="633"/>
      <x:c r="H78" s="633"/>
      <x:c r="I78" s="633" t="n">
        <x:f>-('Model Engine'!F15+'Model Engine'!F19)</x:f>
        <x:v>-400</x:v>
      </x:c>
      <x:c r="J78" s="633"/>
      <x:c r="K78" s="631" t="str">
        <x:v>Base cashback and Premier extra bonus.</x:v>
      </x:c>
    </x:row>
    <x:row r="79" ht="38" customHeight="1">
      <x:c r="A79" s="448"/>
      <x:c r="B79" s="636" t="str">
        <x:v>Less modeled operating costs</x:v>
      </x:c>
      <x:c r="C79" s="636"/>
      <x:c r="D79" s="636"/>
      <x:c r="E79" s="636"/>
      <x:c r="F79" s="638" t="n">
        <x:f>-F22</x:f>
        <x:v>-968.8336866137948</x:v>
      </x:c>
      <x:c r="G79" s="638"/>
      <x:c r="H79" s="638"/>
      <x:c r="I79" s="638" t="n">
        <x:f>-I22</x:f>
        <x:v>-982.6970199471282</x:v>
      </x:c>
      <x:c r="J79" s="638"/>
      <x:c r="K79" s="636" t="str">
        <x:v>All enabled Rate Card costs.</x:v>
      </x:c>
    </x:row>
    <x:row r="80" ht="38" customHeight="1">
      <x:c r="A80" s="448"/>
      <x:c r="B80" s="640" t="str">
        <x:v>Contribution after modeled costs</x:v>
      </x:c>
      <x:c r="C80" s="640"/>
      <x:c r="D80" s="640"/>
      <x:c r="E80" s="640"/>
      <x:c r="F80" s="642" t="n">
        <x:f>'Model Engine'!F40</x:f>
        <x:v>667.1663133862053</x:v>
      </x:c>
      <x:c r="G80" s="642"/>
      <x:c r="H80" s="642"/>
      <x:c r="I80" s="642" t="n">
        <x:f>'Model Engine'!F41</x:f>
        <x:v>53.30298005287182</x:v>
      </x:c>
      <x:c r="J80" s="642"/>
      <x:c r="K80" s="640" t="str">
        <x:v>Not final profit; missing rate lines remain excluded.</x:v>
      </x:c>
    </x:row>
    <x:row r="81">
      <x:c r="A81" s="448"/>
      <x:c r="B81" s="448"/>
      <x:c r="C81" s="448"/>
      <x:c r="D81" s="448"/>
      <x:c r="E81" s="448"/>
      <x:c r="F81" s="448"/>
      <x:c r="G81" s="448"/>
      <x:c r="H81" s="448"/>
      <x:c r="I81" s="448"/>
      <x:c r="J81" s="448"/>
      <x:c r="K81" s="448"/>
    </x:row>
    <x:row r="82">
      <x:c r="A82" s="448"/>
      <x:c r="B82" s="448"/>
      <x:c r="C82" s="448"/>
      <x:c r="D82" s="448"/>
      <x:c r="E82" s="448"/>
      <x:c r="F82" s="448"/>
      <x:c r="G82" s="448"/>
      <x:c r="H82" s="448"/>
      <x:c r="I82" s="448"/>
      <x:c r="J82" s="448"/>
      <x:c r="K82" s="448"/>
    </x:row>
    <x:row r="83">
      <x:c r="A83" s="448"/>
      <x:c r="B83" s="459" t="str">
        <x:v>Automatic checks</x:v>
      </x:c>
      <x:c r="C83" s="459"/>
      <x:c r="D83" s="459"/>
      <x:c r="E83" s="459"/>
      <x:c r="F83" s="459"/>
      <x:c r="G83" s="459"/>
      <x:c r="H83" s="459"/>
      <x:c r="I83" s="459"/>
      <x:c r="J83" s="459"/>
      <x:c r="K83" s="459"/>
    </x:row>
    <x:row r="84">
      <x:c r="A84" s="448"/>
      <x:c r="B84" s="623" t="str">
        <x:v>Engine totals reconcile — Select</x:v>
      </x:c>
      <x:c r="C84" s="623"/>
      <x:c r="D84" s="623"/>
      <x:c r="E84" s="623"/>
      <x:c r="F84" s="623"/>
      <x:c r="G84" s="623"/>
      <x:c r="H84" s="659" t="str">
        <x:f>IF(ABS(F22-SUM(F17:F21))&lt;0.01,"PASS","CHECK")</x:f>
        <x:v>PASS</x:v>
      </x:c>
      <x:c r="I84" s="659"/>
      <x:c r="J84" s="623"/>
      <x:c r="K84" s="623"/>
    </x:row>
    <x:row r="85">
      <x:c r="A85" s="448"/>
      <x:c r="B85" s="626" t="str">
        <x:v>Engine totals reconcile — Premier</x:v>
      </x:c>
      <x:c r="C85" s="626"/>
      <x:c r="D85" s="626"/>
      <x:c r="E85" s="626"/>
      <x:c r="F85" s="626"/>
      <x:c r="G85" s="626"/>
      <x:c r="H85" s="735" t="str">
        <x:f>IF(ABS(I22-SUM(I17:I21))&lt;0.01,"PASS","CHECK")</x:f>
        <x:v>PASS</x:v>
      </x:c>
      <x:c r="I85" s="735"/>
      <x:c r="J85" s="626"/>
      <x:c r="K85" s="626"/>
    </x:row>
    <x:row r="86">
      <x:c r="A86" s="448"/>
      <x:c r="B86" s="623" t="str">
        <x:v>Value-stream totals reconcile — Select</x:v>
      </x:c>
      <x:c r="C86" s="623"/>
      <x:c r="D86" s="623"/>
      <x:c r="E86" s="623"/>
      <x:c r="F86" s="623"/>
      <x:c r="G86" s="623"/>
      <x:c r="H86" s="659" t="str">
        <x:f>IF(ABS(F22-SUM(F36:F42))&lt;0.01,"PASS","CHECK")</x:f>
        <x:v>PASS</x:v>
      </x:c>
      <x:c r="I86" s="659"/>
      <x:c r="J86" s="623"/>
      <x:c r="K86" s="623"/>
    </x:row>
    <x:row r="87">
      <x:c r="A87" s="448"/>
      <x:c r="B87" s="626" t="str">
        <x:v>Value-stream totals reconcile — Premier</x:v>
      </x:c>
      <x:c r="C87" s="626"/>
      <x:c r="D87" s="626"/>
      <x:c r="E87" s="626"/>
      <x:c r="F87" s="626"/>
      <x:c r="G87" s="626"/>
      <x:c r="H87" s="735" t="str">
        <x:f>IF(ABS(I22-SUM(I36:I42))&lt;0.01,"PASS","CHECK")</x:f>
        <x:v>PASS</x:v>
      </x:c>
      <x:c r="I87" s="735"/>
      <x:c r="J87" s="626"/>
      <x:c r="K87" s="626"/>
    </x:row>
    <x:row r="88">
      <x:c r="A88" s="448"/>
      <x:c r="B88" s="623" t="str">
        <x:v>Cost-group totals reconcile — Select</x:v>
      </x:c>
      <x:c r="C88" s="623"/>
      <x:c r="D88" s="623"/>
      <x:c r="E88" s="623"/>
      <x:c r="F88" s="623"/>
      <x:c r="G88" s="623"/>
      <x:c r="H88" s="659" t="str">
        <x:f>IF(ABS(F22-SUM(F48:F56))&lt;0.01,"PASS","CHECK")</x:f>
        <x:v>PASS</x:v>
      </x:c>
      <x:c r="I88" s="659"/>
      <x:c r="J88" s="623"/>
      <x:c r="K88" s="623"/>
    </x:row>
    <x:row r="89">
      <x:c r="A89" s="448"/>
      <x:c r="B89" s="626" t="str">
        <x:v>Cost-group totals reconcile — Premier</x:v>
      </x:c>
      <x:c r="C89" s="626"/>
      <x:c r="D89" s="626"/>
      <x:c r="E89" s="626"/>
      <x:c r="F89" s="626"/>
      <x:c r="G89" s="626"/>
      <x:c r="H89" s="735" t="str">
        <x:f>IF(ABS(I22-SUM(I48:I56))&lt;0.01,"PASS","CHECK")</x:f>
        <x:v>PASS</x:v>
      </x:c>
      <x:c r="I89" s="735"/>
      <x:c r="J89" s="626"/>
      <x:c r="K89" s="626"/>
    </x:row>
    <x:row r="90">
      <x:c r="A90" s="448"/>
      <x:c r="B90" s="623" t="str">
        <x:v>Rate-card totals reconcile</x:v>
      </x:c>
      <x:c r="C90" s="623"/>
      <x:c r="D90" s="623"/>
      <x:c r="E90" s="623"/>
      <x:c r="F90" s="623"/>
      <x:c r="G90" s="623"/>
      <x:c r="H90" s="659" t="str">
        <x:f>IF(AND(ABS(F22-SUM('Rate Cards'!Q8:Q94))&lt;0.01,ABS(I22-SUM('Rate Cards'!R8:R94))&lt;0.01),"PASS","CHECK")</x:f>
        <x:v>PASS</x:v>
      </x:c>
      <x:c r="I90" s="659"/>
      <x:c r="J90" s="623"/>
      <x:c r="K90" s="623"/>
    </x:row>
    <x:row r="91">
      <x:c r="B91" s="738" t="str">
        <x:v>Spend mix equals 100%</x:v>
      </x:c>
      <x:c r="C91" s="738"/>
      <x:c r="D91" s="738"/>
      <x:c r="E91" s="738"/>
      <x:c r="F91" s="738"/>
      <x:c r="G91" s="738"/>
      <x:c r="H91" s="740" t="str">
        <x:f>IF(ABS('Inputs'!I28-1)&lt;0.000001,"PASS","CHECK")</x:f>
        <x:v>PASS</x:v>
      </x:c>
      <x:c r="I91" s="740"/>
      <x:c r="J91" s="738"/>
      <x:c r="K91" s="738"/>
    </x:row>
    <x:row r="92">
      <x:c r="B92" s="741" t="str">
        <x:v>Customer and company bridge reconciles</x:v>
      </x:c>
      <x:c r="C92" s="741"/>
      <x:c r="D92" s="741"/>
      <x:c r="E92" s="741"/>
      <x:c r="F92" s="741"/>
      <x:c r="G92" s="741"/>
      <x:c r="H92" s="743" t="str">
        <x:f>IF(ABS(('Model Engine'!F41-'Model Engine'!F40)-('Model Engine'!F42))&lt;0.01,"PASS","CHECK")</x:f>
        <x:v>PASS</x:v>
      </x:c>
      <x:c r="I92" s="743"/>
      <x:c r="J92" s="741"/>
      <x:c r="K92" s="741"/>
    </x:row>
    <x:row r="95" ht="38" customHeight="1">
      <x:c r="B95" s="699" t="str">
        <x:v>Workflow: update Cost Drivers → enter Planning, Contracted or Actual rates in Rate Cards → review Cost Center → approve pricing and contribution in Command Center and Economics.</x:v>
      </x:c>
      <x:c r="C95" s="699"/>
      <x:c r="D95" s="699"/>
      <x:c r="E95" s="699"/>
      <x:c r="F95" s="699"/>
      <x:c r="G95" s="699"/>
      <x:c r="H95" s="699"/>
      <x:c r="I95" s="699"/>
      <x:c r="J95" s="699"/>
      <x:c r="K95" s="699"/>
    </x:row>
  </x:sheetData>
  <x:mergeCells>
    <x:mergeCell ref="B2:K2"/>
    <x:mergeCell ref="B3:K3"/>
    <x:mergeCell ref="B5:E5"/>
    <x:mergeCell ref="H5:I5"/>
    <x:mergeCell ref="B6:K6"/>
    <x:mergeCell ref="B8:K8"/>
    <x:mergeCell ref="B9:C9"/>
    <x:mergeCell ref="B10:C12"/>
    <x:mergeCell ref="D9:E9"/>
    <x:mergeCell ref="D10:E12"/>
    <x:mergeCell ref="F9:G9"/>
    <x:mergeCell ref="F10:G12"/>
    <x:mergeCell ref="H9:I9"/>
    <x:mergeCell ref="H10:I12"/>
    <x:mergeCell ref="J9:K9"/>
    <x:mergeCell ref="J10:K12"/>
    <x:mergeCell ref="B15:K15"/>
    <x:mergeCell ref="B17:E17"/>
    <x:mergeCell ref="F17:G17"/>
    <x:mergeCell ref="I17:J17"/>
    <x:mergeCell ref="B18:E18"/>
    <x:mergeCell ref="F18:G18"/>
    <x:mergeCell ref="I18:J18"/>
    <x:mergeCell ref="B19:E19"/>
    <x:mergeCell ref="F19:G19"/>
    <x:mergeCell ref="I19:J19"/>
    <x:mergeCell ref="B20:E20"/>
    <x:mergeCell ref="F20:G20"/>
    <x:mergeCell ref="I20:J20"/>
    <x:mergeCell ref="B21:E21"/>
    <x:mergeCell ref="F21:G21"/>
    <x:mergeCell ref="I21:J21"/>
    <x:mergeCell ref="B22:E22"/>
    <x:mergeCell ref="F22:G22"/>
    <x:mergeCell ref="I22:J22"/>
    <x:mergeCell ref="B25:K25"/>
    <x:mergeCell ref="B26:E26"/>
    <x:mergeCell ref="F26:G26"/>
    <x:mergeCell ref="B27:E27"/>
    <x:mergeCell ref="F27:G27"/>
    <x:mergeCell ref="B28:E28"/>
    <x:mergeCell ref="F28:G28"/>
    <x:mergeCell ref="B29:E29"/>
    <x:mergeCell ref="F29:G29"/>
    <x:mergeCell ref="B30:E30"/>
    <x:mergeCell ref="F30:G30"/>
    <x:mergeCell ref="B31:E31"/>
    <x:mergeCell ref="F31:G31"/>
    <x:mergeCell ref="I26:K31"/>
    <x:mergeCell ref="B34:K34"/>
    <x:mergeCell ref="B36:E36"/>
    <x:mergeCell ref="F36:G36"/>
    <x:mergeCell ref="I36:J36"/>
    <x:mergeCell ref="B37:E37"/>
    <x:mergeCell ref="F37:G37"/>
    <x:mergeCell ref="I37:J37"/>
    <x:mergeCell ref="B38:E38"/>
    <x:mergeCell ref="F38:G38"/>
    <x:mergeCell ref="I38:J38"/>
    <x:mergeCell ref="B39:E39"/>
    <x:mergeCell ref="F39:G39"/>
    <x:mergeCell ref="I39:J39"/>
    <x:mergeCell ref="B40:E40"/>
    <x:mergeCell ref="F40:G40"/>
    <x:mergeCell ref="I40:J40"/>
    <x:mergeCell ref="B41:E41"/>
    <x:mergeCell ref="F41:G41"/>
    <x:mergeCell ref="I41:J41"/>
    <x:mergeCell ref="B42:E42"/>
    <x:mergeCell ref="F42:G42"/>
    <x:mergeCell ref="I42:J42"/>
    <x:mergeCell ref="B46:K46"/>
    <x:mergeCell ref="B48:E48"/>
    <x:mergeCell ref="F48:G48"/>
    <x:mergeCell ref="I48:J48"/>
    <x:mergeCell ref="B49:E49"/>
    <x:mergeCell ref="F49:G49"/>
    <x:mergeCell ref="I49:J49"/>
    <x:mergeCell ref="B50:E50"/>
    <x:mergeCell ref="F50:G50"/>
    <x:mergeCell ref="I50:J50"/>
    <x:mergeCell ref="B51:E51"/>
    <x:mergeCell ref="F51:G51"/>
    <x:mergeCell ref="I51:J51"/>
    <x:mergeCell ref="B52:E52"/>
    <x:mergeCell ref="F52:G52"/>
    <x:mergeCell ref="I52:J52"/>
    <x:mergeCell ref="B53:E53"/>
    <x:mergeCell ref="F53:G53"/>
    <x:mergeCell ref="I53:J53"/>
    <x:mergeCell ref="B54:E54"/>
    <x:mergeCell ref="F54:G54"/>
    <x:mergeCell ref="I54:J54"/>
    <x:mergeCell ref="B55:E55"/>
    <x:mergeCell ref="F55:G55"/>
    <x:mergeCell ref="I55:J55"/>
    <x:mergeCell ref="B56:E56"/>
    <x:mergeCell ref="F56:G56"/>
    <x:mergeCell ref="I56:J56"/>
    <x:mergeCell ref="B60:K60"/>
    <x:mergeCell ref="B62:E62"/>
    <x:mergeCell ref="F62:G62"/>
    <x:mergeCell ref="I62:J62"/>
    <x:mergeCell ref="B63:E63"/>
    <x:mergeCell ref="F63:G63"/>
    <x:mergeCell ref="I63:J63"/>
    <x:mergeCell ref="B64:E64"/>
    <x:mergeCell ref="F64:G64"/>
    <x:mergeCell ref="I64:J64"/>
    <x:mergeCell ref="B65:E65"/>
    <x:mergeCell ref="F65:G65"/>
    <x:mergeCell ref="I65:J65"/>
    <x:mergeCell ref="B66:E66"/>
    <x:mergeCell ref="F66:G66"/>
    <x:mergeCell ref="I66:J66"/>
    <x:mergeCell ref="B67:E67"/>
    <x:mergeCell ref="F67:G67"/>
    <x:mergeCell ref="I67:J67"/>
    <x:mergeCell ref="B70:K70"/>
    <x:mergeCell ref="B72:K72"/>
    <x:mergeCell ref="B68:E68"/>
    <x:mergeCell ref="F68:G68"/>
    <x:mergeCell ref="I68:J68"/>
    <x:mergeCell ref="B69:E69"/>
    <x:mergeCell ref="F69:G69"/>
    <x:mergeCell ref="I69:J69"/>
    <x:mergeCell ref="B70:E70"/>
    <x:mergeCell ref="F70:G70"/>
    <x:mergeCell ref="I70:J70"/>
    <x:mergeCell ref="B73:K73"/>
    <x:mergeCell ref="B75:E75"/>
    <x:mergeCell ref="F75:G75"/>
    <x:mergeCell ref="I75:J75"/>
    <x:mergeCell ref="B76:E76"/>
    <x:mergeCell ref="F76:G76"/>
    <x:mergeCell ref="I76:J76"/>
    <x:mergeCell ref="B77:E77"/>
    <x:mergeCell ref="F77:G77"/>
    <x:mergeCell ref="I77:J77"/>
    <x:mergeCell ref="B78:E78"/>
    <x:mergeCell ref="F78:G78"/>
    <x:mergeCell ref="I78:J78"/>
    <x:mergeCell ref="B79:E79"/>
    <x:mergeCell ref="F79:G79"/>
    <x:mergeCell ref="I79:J79"/>
    <x:mergeCell ref="B80:E80"/>
    <x:mergeCell ref="F80:G80"/>
    <x:mergeCell ref="I80:J80"/>
    <x:mergeCell ref="B83:K83"/>
    <x:mergeCell ref="B84:F84"/>
    <x:mergeCell ref="H84:I84"/>
    <x:mergeCell ref="B85:F85"/>
    <x:mergeCell ref="H85:I85"/>
    <x:mergeCell ref="B86:F86"/>
    <x:mergeCell ref="H86:I86"/>
    <x:mergeCell ref="B87:F87"/>
    <x:mergeCell ref="H87:I87"/>
    <x:mergeCell ref="B88:F88"/>
    <x:mergeCell ref="H88:I88"/>
    <x:mergeCell ref="B89:F89"/>
    <x:mergeCell ref="H89:I89"/>
    <x:mergeCell ref="B90:F90"/>
    <x:mergeCell ref="H90:I90"/>
    <x:mergeCell ref="B91:F91"/>
    <x:mergeCell ref="H91:I91"/>
    <x:mergeCell ref="B92:F92"/>
    <x:mergeCell ref="H92:I92"/>
    <x:mergeCell ref="B95:K95"/>
  </x:mergeCells>
  <x:dataValidations count="1">
    <x:dataValidation type="list" sqref="F5">
      <x:formula1>"Planning,Contracted,Actual"</x:formula1>
    </x:dataValidation>
  </x:dataValidations>
  <x:pageMargins left="0.7" right="0.7" top="0.75" bottom="0.75" header="0.3" footer="0.3"/>
</x:worksheet>
</file>